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0307D5B7-8D1A-41CA-9575-FDEBA41D40CB}" xr6:coauthVersionLast="47" xr6:coauthVersionMax="47" xr10:uidLastSave="{00000000-0000-0000-0000-000000000000}"/>
  <bookViews>
    <workbookView xWindow="2295" yWindow="2295" windowWidth="15375" windowHeight="11265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hiyari集計表!$A$1:$P$68</definedName>
    <definedName name="_xlnm._FilterDatabase" localSheetId="1" hidden="1">hiyari集計表並べ替え!$A$1:$B$94</definedName>
    <definedName name="_xlnm._FilterDatabase" localSheetId="3" hidden="1">組織図!$A$1:$F$15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5" l="1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4" i="1" l="1"/>
  <c r="C93" i="1"/>
  <c r="C92" i="1"/>
  <c r="C91" i="1"/>
  <c r="C90" i="1"/>
  <c r="C89" i="1"/>
  <c r="C88" i="1"/>
  <c r="C87" i="1"/>
  <c r="C86" i="1"/>
  <c r="C85" i="1"/>
  <c r="C80" i="1"/>
  <c r="C84" i="1"/>
  <c r="C83" i="1"/>
  <c r="C82" i="1"/>
  <c r="C78" i="1"/>
  <c r="C79" i="1"/>
  <c r="C77" i="1"/>
  <c r="C76" i="1"/>
  <c r="C81" i="1"/>
  <c r="C75" i="1"/>
  <c r="C74" i="1"/>
  <c r="C73" i="1"/>
  <c r="C72" i="1"/>
  <c r="C68" i="1"/>
  <c r="F38" i="5" s="1"/>
  <c r="C55" i="1"/>
  <c r="C60" i="1"/>
  <c r="F35" i="5" s="1"/>
  <c r="C71" i="1"/>
  <c r="C57" i="1"/>
  <c r="F36" i="5" s="1"/>
  <c r="C69" i="1"/>
  <c r="F34" i="5" s="1"/>
  <c r="C56" i="1"/>
  <c r="F33" i="5" s="1"/>
  <c r="C64" i="1"/>
  <c r="F37" i="5" s="1"/>
  <c r="C61" i="1"/>
  <c r="F32" i="5" s="1"/>
  <c r="C65" i="1"/>
  <c r="F43" i="5" s="1"/>
  <c r="C67" i="1"/>
  <c r="C59" i="1"/>
  <c r="F40" i="5" s="1"/>
  <c r="C62" i="1"/>
  <c r="F42" i="5" s="1"/>
  <c r="C63" i="1"/>
  <c r="F39" i="5" s="1"/>
  <c r="C58" i="1"/>
  <c r="C70" i="1"/>
  <c r="F41" i="5" s="1"/>
  <c r="C66" i="1"/>
  <c r="C54" i="1"/>
  <c r="C53" i="1"/>
  <c r="C48" i="1"/>
  <c r="F48" i="5" s="1"/>
  <c r="C50" i="1"/>
  <c r="F47" i="5" s="1"/>
  <c r="C52" i="1"/>
  <c r="F4" i="5" s="1"/>
  <c r="C49" i="1"/>
  <c r="F5" i="5" s="1"/>
  <c r="C51" i="1"/>
  <c r="C46" i="1"/>
  <c r="F6" i="5" s="1"/>
  <c r="C39" i="1"/>
  <c r="C38" i="1"/>
  <c r="F3" i="5" s="1"/>
  <c r="C34" i="1"/>
  <c r="F44" i="5" s="1"/>
  <c r="C42" i="1"/>
  <c r="F12" i="5" s="1"/>
  <c r="C47" i="1"/>
  <c r="F16" i="5" s="1"/>
  <c r="C35" i="1"/>
  <c r="F14" i="5" s="1"/>
  <c r="C36" i="1"/>
  <c r="C44" i="1"/>
  <c r="F11" i="5" s="1"/>
  <c r="C43" i="1"/>
  <c r="F13" i="5" s="1"/>
  <c r="C37" i="1"/>
  <c r="F45" i="5" s="1"/>
  <c r="C41" i="1"/>
  <c r="F46" i="5" s="1"/>
  <c r="C45" i="1"/>
  <c r="C40" i="1"/>
  <c r="F15" i="5" s="1"/>
  <c r="C32" i="1"/>
  <c r="F30" i="5" s="1"/>
  <c r="C23" i="1"/>
  <c r="F31" i="5" s="1"/>
  <c r="C17" i="1"/>
  <c r="F54" i="5" s="1"/>
  <c r="C21" i="1"/>
  <c r="F28" i="5" s="1"/>
  <c r="C31" i="1"/>
  <c r="F27" i="5" s="1"/>
  <c r="C27" i="1"/>
  <c r="F23" i="5" s="1"/>
  <c r="C30" i="1"/>
  <c r="F22" i="5" s="1"/>
  <c r="C29" i="1"/>
  <c r="F20" i="5" s="1"/>
  <c r="C33" i="1"/>
  <c r="F49" i="5" s="1"/>
  <c r="C28" i="1"/>
  <c r="F17" i="5" s="1"/>
  <c r="C24" i="1"/>
  <c r="F24" i="5" s="1"/>
  <c r="C12" i="1"/>
  <c r="F7" i="5" s="1"/>
  <c r="C14" i="1"/>
  <c r="F21" i="5" s="1"/>
  <c r="C25" i="1"/>
  <c r="F25" i="5" s="1"/>
  <c r="C20" i="1"/>
  <c r="F50" i="5" s="1"/>
  <c r="C18" i="1"/>
  <c r="F18" i="5" s="1"/>
  <c r="C19" i="1"/>
  <c r="C13" i="1"/>
  <c r="C22" i="1"/>
  <c r="C26" i="1"/>
  <c r="F26" i="5" s="1"/>
  <c r="C16" i="1"/>
  <c r="F29" i="5" s="1"/>
  <c r="C11" i="1"/>
  <c r="F19" i="5" s="1"/>
  <c r="C15" i="1"/>
  <c r="F53" i="5" s="1"/>
  <c r="C10" i="1"/>
  <c r="F55" i="5" s="1"/>
  <c r="C9" i="1"/>
  <c r="F8" i="5" s="1"/>
  <c r="C3" i="1"/>
  <c r="F10" i="5" s="1"/>
  <c r="C2" i="1"/>
  <c r="C8" i="1"/>
  <c r="C4" i="1"/>
  <c r="F51" i="5" s="1"/>
  <c r="C5" i="1"/>
  <c r="C6" i="1"/>
  <c r="F2" i="5" s="1"/>
  <c r="C7" i="1"/>
  <c r="F52" i="5" s="1"/>
  <c r="E9" i="5"/>
  <c r="F9" i="5" l="1"/>
</calcChain>
</file>

<file path=xl/sharedStrings.xml><?xml version="1.0" encoding="utf-8"?>
<sst xmlns="http://schemas.openxmlformats.org/spreadsheetml/2006/main" count="464" uniqueCount="256">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</sst>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</cellXfs>
  <cellStyles count="2">
    <cellStyle name="標準" xfId="0" builtinId="0"/>
    <cellStyle name="標準_Sheet2" xfId="1" xr:uid="{00000000-0005-0000-0000-00000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2024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>
                <a:solidFill>
                  <a:schemeClr val="tx1"/>
                </a:solidFill>
              </a:rPr>
              <a:t>5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hiyari集計表並べ替え!$A$2:$A$15</c:f>
              <c:strCache>
                <c:ptCount val="14"/>
                <c:pt idx="0">
                  <c:v>和田香織</c:v>
                </c:pt>
                <c:pt idx="1">
                  <c:v>粟谷明</c:v>
                </c:pt>
                <c:pt idx="2">
                  <c:v>上田拓郎</c:v>
                </c:pt>
                <c:pt idx="3">
                  <c:v>富永知弘</c:v>
                </c:pt>
                <c:pt idx="4">
                  <c:v>上村龍則</c:v>
                </c:pt>
                <c:pt idx="5">
                  <c:v>友田勝久</c:v>
                </c:pt>
                <c:pt idx="6">
                  <c:v>小林純平</c:v>
                </c:pt>
                <c:pt idx="7">
                  <c:v>富安零音</c:v>
                </c:pt>
                <c:pt idx="8">
                  <c:v>矢尾井潤</c:v>
                </c:pt>
                <c:pt idx="9">
                  <c:v>觀野明</c:v>
                </c:pt>
                <c:pt idx="10">
                  <c:v>山中将彦</c:v>
                </c:pt>
                <c:pt idx="11">
                  <c:v>池谷一志</c:v>
                </c:pt>
                <c:pt idx="12">
                  <c:v>川上司</c:v>
                </c:pt>
                <c:pt idx="13">
                  <c:v>児玉直樹</c:v>
                </c:pt>
              </c:strCache>
            </c:strRef>
          </c:cat>
          <c:val>
            <c:numRef>
              <c:f>hiyari集計表並べ替え!$B$2:$B$15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G52" sqref="G52"/>
    </sheetView>
  </sheetViews>
  <sheetFormatPr defaultRowHeight="18.75" x14ac:dyDescent="0.4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4"/>
  <sheetViews>
    <sheetView topLeftCell="A10" workbookViewId="0">
      <selection activeCell="C3" sqref="C3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137</v>
      </c>
    </row>
    <row r="2" spans="1:2" x14ac:dyDescent="0.4">
      <c r="A2" t="s">
        <v>5</v>
      </c>
      <c r="B2">
        <v>1</v>
      </c>
    </row>
    <row r="3" spans="1:2" x14ac:dyDescent="0.4">
      <c r="A3" t="s">
        <v>39</v>
      </c>
      <c r="B3">
        <v>1</v>
      </c>
    </row>
    <row r="4" spans="1:2" x14ac:dyDescent="0.4">
      <c r="A4" t="s">
        <v>20</v>
      </c>
      <c r="B4">
        <v>1</v>
      </c>
    </row>
    <row r="5" spans="1:2" x14ac:dyDescent="0.4">
      <c r="A5" t="s">
        <v>12</v>
      </c>
      <c r="B5">
        <v>1</v>
      </c>
    </row>
    <row r="6" spans="1:2" x14ac:dyDescent="0.4">
      <c r="A6" t="s">
        <v>35</v>
      </c>
      <c r="B6">
        <v>1</v>
      </c>
    </row>
    <row r="7" spans="1:2" x14ac:dyDescent="0.4">
      <c r="A7" t="s">
        <v>16</v>
      </c>
      <c r="B7">
        <v>1</v>
      </c>
    </row>
    <row r="8" spans="1:2" x14ac:dyDescent="0.4">
      <c r="A8" t="s">
        <v>32</v>
      </c>
      <c r="B8">
        <v>1</v>
      </c>
    </row>
    <row r="9" spans="1:2" x14ac:dyDescent="0.4">
      <c r="A9" t="s">
        <v>73</v>
      </c>
      <c r="B9">
        <v>1</v>
      </c>
    </row>
    <row r="10" spans="1:2" x14ac:dyDescent="0.4">
      <c r="A10" t="s">
        <v>133</v>
      </c>
      <c r="B10">
        <v>1</v>
      </c>
    </row>
    <row r="11" spans="1:2" x14ac:dyDescent="0.4">
      <c r="A11" t="s">
        <v>107</v>
      </c>
      <c r="B11">
        <v>1</v>
      </c>
    </row>
    <row r="12" spans="1:2" x14ac:dyDescent="0.4">
      <c r="A12" t="s">
        <v>255</v>
      </c>
      <c r="B12">
        <v>1</v>
      </c>
    </row>
    <row r="13" spans="1:2" x14ac:dyDescent="0.4">
      <c r="A13" t="s">
        <v>4</v>
      </c>
      <c r="B13">
        <v>0</v>
      </c>
    </row>
    <row r="14" spans="1:2" x14ac:dyDescent="0.4">
      <c r="A14" t="s">
        <v>43</v>
      </c>
      <c r="B14">
        <v>0</v>
      </c>
    </row>
    <row r="15" spans="1:2" x14ac:dyDescent="0.4">
      <c r="A15" t="s">
        <v>7</v>
      </c>
      <c r="B15">
        <v>0</v>
      </c>
    </row>
    <row r="16" spans="1:2" x14ac:dyDescent="0.4">
      <c r="A16" t="s">
        <v>82</v>
      </c>
      <c r="B16">
        <v>0</v>
      </c>
    </row>
    <row r="17" spans="1:2" x14ac:dyDescent="0.4">
      <c r="A17" t="s">
        <v>6</v>
      </c>
      <c r="B17">
        <v>0</v>
      </c>
    </row>
    <row r="18" spans="1:2" x14ac:dyDescent="0.4">
      <c r="A18" t="s">
        <v>65</v>
      </c>
      <c r="B18">
        <v>0</v>
      </c>
    </row>
    <row r="19" spans="1:2" x14ac:dyDescent="0.4">
      <c r="A19" t="s">
        <v>70</v>
      </c>
      <c r="B19">
        <v>0</v>
      </c>
    </row>
    <row r="20" spans="1:2" x14ac:dyDescent="0.4">
      <c r="A20" t="s">
        <v>46</v>
      </c>
      <c r="B20">
        <v>0</v>
      </c>
    </row>
    <row r="21" spans="1:2" x14ac:dyDescent="0.4">
      <c r="A21" t="s">
        <v>74</v>
      </c>
      <c r="B21">
        <v>0</v>
      </c>
    </row>
    <row r="22" spans="1:2" x14ac:dyDescent="0.4">
      <c r="A22" t="s">
        <v>40</v>
      </c>
      <c r="B22">
        <v>0</v>
      </c>
    </row>
    <row r="23" spans="1:2" x14ac:dyDescent="0.4">
      <c r="A23" t="s">
        <v>49</v>
      </c>
      <c r="B23">
        <v>0</v>
      </c>
    </row>
    <row r="24" spans="1:2" x14ac:dyDescent="0.4">
      <c r="A24" t="s">
        <v>9</v>
      </c>
      <c r="B24">
        <v>0</v>
      </c>
    </row>
    <row r="25" spans="1:2" x14ac:dyDescent="0.4">
      <c r="A25" t="s">
        <v>91</v>
      </c>
      <c r="B25">
        <v>0</v>
      </c>
    </row>
    <row r="26" spans="1:2" x14ac:dyDescent="0.4">
      <c r="A26" t="s">
        <v>134</v>
      </c>
      <c r="B26">
        <v>0</v>
      </c>
    </row>
    <row r="27" spans="1:2" x14ac:dyDescent="0.4">
      <c r="A27" t="s">
        <v>64</v>
      </c>
      <c r="B27">
        <v>0</v>
      </c>
    </row>
    <row r="28" spans="1:2" x14ac:dyDescent="0.4">
      <c r="A28" t="s">
        <v>10</v>
      </c>
      <c r="B28">
        <v>0</v>
      </c>
    </row>
    <row r="29" spans="1:2" x14ac:dyDescent="0.4">
      <c r="A29" t="s">
        <v>55</v>
      </c>
      <c r="B29">
        <v>0</v>
      </c>
    </row>
    <row r="30" spans="1:2" x14ac:dyDescent="0.4">
      <c r="A30" t="s">
        <v>250</v>
      </c>
      <c r="B30">
        <v>0</v>
      </c>
    </row>
    <row r="31" spans="1:2" x14ac:dyDescent="0.4">
      <c r="A31" t="s">
        <v>8</v>
      </c>
      <c r="B31">
        <v>0</v>
      </c>
    </row>
    <row r="32" spans="1:2" x14ac:dyDescent="0.4">
      <c r="A32" t="s">
        <v>135</v>
      </c>
      <c r="B32">
        <v>0</v>
      </c>
    </row>
    <row r="33" spans="1:2" x14ac:dyDescent="0.4">
      <c r="A33" t="s">
        <v>51</v>
      </c>
      <c r="B33">
        <v>0</v>
      </c>
    </row>
    <row r="34" spans="1:2" x14ac:dyDescent="0.4">
      <c r="A34" t="s">
        <v>56</v>
      </c>
      <c r="B34">
        <v>0</v>
      </c>
    </row>
    <row r="35" spans="1:2" x14ac:dyDescent="0.4">
      <c r="A35" t="s">
        <v>77</v>
      </c>
      <c r="B35">
        <v>0</v>
      </c>
    </row>
    <row r="36" spans="1:2" x14ac:dyDescent="0.4">
      <c r="A36" t="s">
        <v>115</v>
      </c>
      <c r="B36">
        <v>0</v>
      </c>
    </row>
    <row r="37" spans="1:2" x14ac:dyDescent="0.4">
      <c r="A37" t="s">
        <v>111</v>
      </c>
      <c r="B37">
        <v>0</v>
      </c>
    </row>
    <row r="38" spans="1:2" x14ac:dyDescent="0.4">
      <c r="A38" t="s">
        <v>113</v>
      </c>
      <c r="B38">
        <v>0</v>
      </c>
    </row>
    <row r="39" spans="1:2" x14ac:dyDescent="0.4">
      <c r="A39" t="s">
        <v>114</v>
      </c>
      <c r="B39">
        <v>0</v>
      </c>
    </row>
    <row r="40" spans="1:2" x14ac:dyDescent="0.4">
      <c r="A40" t="s">
        <v>116</v>
      </c>
      <c r="B40">
        <v>0</v>
      </c>
    </row>
    <row r="41" spans="1:2" x14ac:dyDescent="0.4">
      <c r="A41" t="s">
        <v>117</v>
      </c>
      <c r="B41">
        <v>0</v>
      </c>
    </row>
    <row r="42" spans="1:2" x14ac:dyDescent="0.4">
      <c r="A42" t="s">
        <v>112</v>
      </c>
      <c r="B42">
        <v>0</v>
      </c>
    </row>
    <row r="43" spans="1:2" x14ac:dyDescent="0.4">
      <c r="A43" t="s">
        <v>24</v>
      </c>
      <c r="B43">
        <v>0</v>
      </c>
    </row>
    <row r="44" spans="1:2" x14ac:dyDescent="0.4">
      <c r="A44" t="s">
        <v>18</v>
      </c>
      <c r="B44">
        <v>0</v>
      </c>
    </row>
    <row r="45" spans="1:2" x14ac:dyDescent="0.4">
      <c r="A45" t="s">
        <v>23</v>
      </c>
      <c r="B45">
        <v>0</v>
      </c>
    </row>
    <row r="46" spans="1:2" x14ac:dyDescent="0.4">
      <c r="A46" t="s">
        <v>123</v>
      </c>
      <c r="B46">
        <v>0</v>
      </c>
    </row>
    <row r="47" spans="1:2" x14ac:dyDescent="0.4">
      <c r="A47" t="s">
        <v>25</v>
      </c>
      <c r="B47">
        <v>0</v>
      </c>
    </row>
    <row r="48" spans="1:2" x14ac:dyDescent="0.4">
      <c r="A48" t="s">
        <v>84</v>
      </c>
      <c r="B48">
        <v>0</v>
      </c>
    </row>
    <row r="49" spans="1:2" x14ac:dyDescent="0.4">
      <c r="A49" t="s">
        <v>89</v>
      </c>
      <c r="B49">
        <v>0</v>
      </c>
    </row>
    <row r="50" spans="1:2" x14ac:dyDescent="0.4">
      <c r="A50" t="s">
        <v>13</v>
      </c>
      <c r="B50">
        <v>0</v>
      </c>
    </row>
    <row r="51" spans="1:2" x14ac:dyDescent="0.4">
      <c r="A51" t="s">
        <v>14</v>
      </c>
      <c r="B51">
        <v>0</v>
      </c>
    </row>
    <row r="52" spans="1:2" x14ac:dyDescent="0.4">
      <c r="A52" t="s">
        <v>11</v>
      </c>
      <c r="B52">
        <v>0</v>
      </c>
    </row>
    <row r="53" spans="1:2" x14ac:dyDescent="0.4">
      <c r="A53" t="s">
        <v>110</v>
      </c>
      <c r="B53">
        <v>0</v>
      </c>
    </row>
    <row r="54" spans="1:2" x14ac:dyDescent="0.4">
      <c r="A54" t="s">
        <v>80</v>
      </c>
      <c r="B54">
        <v>0</v>
      </c>
    </row>
    <row r="55" spans="1:2" x14ac:dyDescent="0.4">
      <c r="A55" t="s">
        <v>34</v>
      </c>
      <c r="B55">
        <v>0</v>
      </c>
    </row>
    <row r="56" spans="1:2" x14ac:dyDescent="0.4">
      <c r="A56" t="s">
        <v>15</v>
      </c>
      <c r="B56">
        <v>0</v>
      </c>
    </row>
    <row r="57" spans="1:2" x14ac:dyDescent="0.4">
      <c r="A57" t="s">
        <v>17</v>
      </c>
      <c r="B57">
        <v>0</v>
      </c>
    </row>
    <row r="58" spans="1:2" x14ac:dyDescent="0.4">
      <c r="A58" t="s">
        <v>118</v>
      </c>
      <c r="B58">
        <v>0</v>
      </c>
    </row>
    <row r="59" spans="1:2" x14ac:dyDescent="0.4">
      <c r="A59" t="s">
        <v>2</v>
      </c>
      <c r="B59">
        <v>0</v>
      </c>
    </row>
    <row r="60" spans="1:2" x14ac:dyDescent="0.4">
      <c r="A60" t="s">
        <v>58</v>
      </c>
      <c r="B60">
        <v>0</v>
      </c>
    </row>
    <row r="61" spans="1:2" x14ac:dyDescent="0.4">
      <c r="A61" t="s">
        <v>3</v>
      </c>
      <c r="B61">
        <v>0</v>
      </c>
    </row>
    <row r="62" spans="1:2" x14ac:dyDescent="0.4">
      <c r="A62" t="s">
        <v>45</v>
      </c>
      <c r="B62">
        <v>0</v>
      </c>
    </row>
    <row r="63" spans="1:2" x14ac:dyDescent="0.4">
      <c r="A63" t="s">
        <v>37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48</v>
      </c>
      <c r="B65">
        <v>0</v>
      </c>
    </row>
    <row r="66" spans="1:2" x14ac:dyDescent="0.4">
      <c r="A66" t="s">
        <v>1</v>
      </c>
      <c r="B66">
        <v>0</v>
      </c>
    </row>
    <row r="67" spans="1:2" x14ac:dyDescent="0.4">
      <c r="A67" t="s">
        <v>22</v>
      </c>
      <c r="B67">
        <v>0</v>
      </c>
    </row>
    <row r="68" spans="1:2" x14ac:dyDescent="0.4">
      <c r="A68" t="s">
        <v>36</v>
      </c>
      <c r="B68">
        <v>0</v>
      </c>
    </row>
    <row r="69" spans="1:2" x14ac:dyDescent="0.4">
      <c r="A69" t="s">
        <v>42</v>
      </c>
      <c r="B69">
        <v>0</v>
      </c>
    </row>
    <row r="70" spans="1:2" x14ac:dyDescent="0.4">
      <c r="A70" t="s">
        <v>83</v>
      </c>
      <c r="B70">
        <v>0</v>
      </c>
    </row>
    <row r="71" spans="1:2" x14ac:dyDescent="0.4">
      <c r="A71" t="s">
        <v>76</v>
      </c>
      <c r="B71">
        <v>0</v>
      </c>
    </row>
    <row r="72" spans="1:2" x14ac:dyDescent="0.4">
      <c r="A72" t="s">
        <v>19</v>
      </c>
      <c r="B72">
        <v>0</v>
      </c>
    </row>
    <row r="73" spans="1:2" x14ac:dyDescent="0.4">
      <c r="A73" t="s">
        <v>21</v>
      </c>
      <c r="B73">
        <v>0</v>
      </c>
    </row>
    <row r="74" spans="1:2" x14ac:dyDescent="0.4">
      <c r="A74" t="s">
        <v>53</v>
      </c>
      <c r="B74">
        <v>0</v>
      </c>
    </row>
    <row r="75" spans="1:2" x14ac:dyDescent="0.4">
      <c r="A75" t="s">
        <v>62</v>
      </c>
      <c r="B75">
        <v>0</v>
      </c>
    </row>
    <row r="76" spans="1:2" x14ac:dyDescent="0.4">
      <c r="A76" t="s">
        <v>87</v>
      </c>
      <c r="B76">
        <v>0</v>
      </c>
    </row>
    <row r="77" spans="1:2" x14ac:dyDescent="0.4">
      <c r="A77" t="s">
        <v>60</v>
      </c>
      <c r="B77">
        <v>0</v>
      </c>
    </row>
    <row r="78" spans="1:2" x14ac:dyDescent="0.4">
      <c r="A78" t="s">
        <v>67</v>
      </c>
      <c r="B78">
        <v>0</v>
      </c>
    </row>
    <row r="79" spans="1:2" x14ac:dyDescent="0.4">
      <c r="A79" t="s">
        <v>131</v>
      </c>
      <c r="B79">
        <v>0</v>
      </c>
    </row>
    <row r="80" spans="1:2" x14ac:dyDescent="0.4">
      <c r="A80" t="s">
        <v>132</v>
      </c>
      <c r="B80">
        <v>0</v>
      </c>
    </row>
    <row r="81" spans="1:2" x14ac:dyDescent="0.4">
      <c r="A81" t="s">
        <v>130</v>
      </c>
      <c r="B81">
        <v>0</v>
      </c>
    </row>
    <row r="82" spans="1:2" x14ac:dyDescent="0.4">
      <c r="A82" t="s">
        <v>69</v>
      </c>
      <c r="B82">
        <v>0</v>
      </c>
    </row>
    <row r="83" spans="1:2" x14ac:dyDescent="0.4">
      <c r="A83" t="s">
        <v>66</v>
      </c>
      <c r="B83">
        <v>0</v>
      </c>
    </row>
    <row r="84" spans="1:2" x14ac:dyDescent="0.4">
      <c r="A84" t="s">
        <v>106</v>
      </c>
      <c r="B84">
        <v>0</v>
      </c>
    </row>
    <row r="85" spans="1:2" x14ac:dyDescent="0.4">
      <c r="A85" t="s">
        <v>108</v>
      </c>
      <c r="B85">
        <v>0</v>
      </c>
    </row>
    <row r="86" spans="1:2" x14ac:dyDescent="0.4">
      <c r="B86">
        <v>0</v>
      </c>
    </row>
    <row r="87" spans="1:2" x14ac:dyDescent="0.4">
      <c r="B87">
        <v>0</v>
      </c>
    </row>
    <row r="88" spans="1:2" x14ac:dyDescent="0.4"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</sheetData>
  <autoFilter ref="A1:B94" xr:uid="{00000000-0009-0000-0000-000001000000}">
    <sortState xmlns:xlrd2="http://schemas.microsoft.com/office/spreadsheetml/2017/richdata2" ref="A2:B94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94"/>
  <sheetViews>
    <sheetView tabSelected="1" workbookViewId="0">
      <pane xSplit="2" ySplit="1" topLeftCell="C43" activePane="bottomRight" state="frozen"/>
      <selection pane="topRight" activeCell="D1" sqref="D1"/>
      <selection pane="bottomLeft" activeCell="A2" sqref="A2"/>
      <selection pane="bottomRight" activeCell="G45" sqref="G45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 x14ac:dyDescent="0.4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 x14ac:dyDescent="0.4">
      <c r="A2" t="s">
        <v>27</v>
      </c>
      <c r="B2" t="s">
        <v>4</v>
      </c>
      <c r="C2">
        <f t="shared" ref="C2:C33" si="0">SUM(D2:O2)</f>
        <v>0</v>
      </c>
      <c r="R2" t="s">
        <v>254</v>
      </c>
    </row>
    <row r="3" spans="1:18" x14ac:dyDescent="0.4">
      <c r="A3" t="s">
        <v>27</v>
      </c>
      <c r="B3" t="s">
        <v>43</v>
      </c>
      <c r="C3">
        <f t="shared" si="0"/>
        <v>0</v>
      </c>
    </row>
    <row r="4" spans="1:18" x14ac:dyDescent="0.4">
      <c r="A4" t="s">
        <v>27</v>
      </c>
      <c r="B4" t="s">
        <v>7</v>
      </c>
      <c r="C4">
        <f t="shared" si="0"/>
        <v>1</v>
      </c>
      <c r="G4">
        <v>1</v>
      </c>
    </row>
    <row r="5" spans="1:18" x14ac:dyDescent="0.4">
      <c r="A5" t="s">
        <v>81</v>
      </c>
      <c r="B5" t="s">
        <v>82</v>
      </c>
      <c r="C5">
        <f t="shared" si="0"/>
        <v>0</v>
      </c>
    </row>
    <row r="6" spans="1:18" x14ac:dyDescent="0.4">
      <c r="A6" t="s">
        <v>27</v>
      </c>
      <c r="B6" t="s">
        <v>6</v>
      </c>
      <c r="C6">
        <f t="shared" si="0"/>
        <v>0</v>
      </c>
    </row>
    <row r="7" spans="1:18" x14ac:dyDescent="0.4">
      <c r="A7" t="s">
        <v>27</v>
      </c>
      <c r="B7" t="s">
        <v>5</v>
      </c>
      <c r="C7">
        <f t="shared" si="0"/>
        <v>1</v>
      </c>
      <c r="E7">
        <v>1</v>
      </c>
    </row>
    <row r="8" spans="1:18" x14ac:dyDescent="0.4">
      <c r="A8" t="s">
        <v>27</v>
      </c>
      <c r="B8" t="s">
        <v>65</v>
      </c>
      <c r="C8">
        <f t="shared" si="0"/>
        <v>0</v>
      </c>
    </row>
    <row r="9" spans="1:18" x14ac:dyDescent="0.15">
      <c r="A9" t="s">
        <v>71</v>
      </c>
      <c r="B9" t="s">
        <v>251</v>
      </c>
      <c r="C9">
        <f t="shared" si="0"/>
        <v>0</v>
      </c>
      <c r="E9" s="4"/>
    </row>
    <row r="10" spans="1:18" x14ac:dyDescent="0.4">
      <c r="A10" t="s">
        <v>38</v>
      </c>
      <c r="B10" t="s">
        <v>39</v>
      </c>
      <c r="C10">
        <f t="shared" si="0"/>
        <v>1</v>
      </c>
      <c r="E10">
        <v>1</v>
      </c>
    </row>
    <row r="11" spans="1:18" x14ac:dyDescent="0.4">
      <c r="A11" t="s">
        <v>28</v>
      </c>
      <c r="B11" t="s">
        <v>46</v>
      </c>
      <c r="C11">
        <f t="shared" si="0"/>
        <v>0</v>
      </c>
    </row>
    <row r="12" spans="1:18" x14ac:dyDescent="0.4">
      <c r="A12" t="s">
        <v>28</v>
      </c>
      <c r="B12" t="s">
        <v>74</v>
      </c>
      <c r="C12">
        <f t="shared" si="0"/>
        <v>0</v>
      </c>
    </row>
    <row r="13" spans="1:18" x14ac:dyDescent="0.4">
      <c r="A13" t="s">
        <v>28</v>
      </c>
      <c r="B13" t="s">
        <v>40</v>
      </c>
      <c r="C13">
        <f t="shared" si="0"/>
        <v>0</v>
      </c>
    </row>
    <row r="14" spans="1:18" x14ac:dyDescent="0.4">
      <c r="A14" t="s">
        <v>28</v>
      </c>
      <c r="B14" t="s">
        <v>49</v>
      </c>
      <c r="C14">
        <f t="shared" si="0"/>
        <v>0</v>
      </c>
    </row>
    <row r="15" spans="1:18" x14ac:dyDescent="0.4">
      <c r="A15" t="s">
        <v>28</v>
      </c>
      <c r="B15" t="s">
        <v>9</v>
      </c>
      <c r="C15">
        <f t="shared" si="0"/>
        <v>0</v>
      </c>
    </row>
    <row r="16" spans="1:18" x14ac:dyDescent="0.4">
      <c r="A16" t="s">
        <v>90</v>
      </c>
      <c r="B16" t="s">
        <v>91</v>
      </c>
      <c r="C16">
        <f t="shared" si="0"/>
        <v>0</v>
      </c>
    </row>
    <row r="17" spans="1:3" x14ac:dyDescent="0.4">
      <c r="A17" t="s">
        <v>127</v>
      </c>
      <c r="B17" t="s">
        <v>134</v>
      </c>
      <c r="C17">
        <f t="shared" si="0"/>
        <v>0</v>
      </c>
    </row>
    <row r="18" spans="1:3" x14ac:dyDescent="0.4">
      <c r="A18" t="s">
        <v>63</v>
      </c>
      <c r="B18" t="s">
        <v>64</v>
      </c>
      <c r="C18">
        <f t="shared" si="0"/>
        <v>0</v>
      </c>
    </row>
    <row r="19" spans="1:3" x14ac:dyDescent="0.4">
      <c r="A19" t="s">
        <v>28</v>
      </c>
      <c r="B19" t="s">
        <v>10</v>
      </c>
      <c r="C19">
        <f t="shared" si="0"/>
        <v>0</v>
      </c>
    </row>
    <row r="20" spans="1:3" x14ac:dyDescent="0.4">
      <c r="A20" t="s">
        <v>54</v>
      </c>
      <c r="B20" t="s">
        <v>55</v>
      </c>
      <c r="C20">
        <f t="shared" si="0"/>
        <v>0</v>
      </c>
    </row>
    <row r="21" spans="1:3" x14ac:dyDescent="0.4">
      <c r="A21" t="s">
        <v>125</v>
      </c>
      <c r="B21" t="s">
        <v>250</v>
      </c>
      <c r="C21">
        <f t="shared" si="0"/>
        <v>0</v>
      </c>
    </row>
    <row r="22" spans="1:3" x14ac:dyDescent="0.4">
      <c r="A22" t="s">
        <v>28</v>
      </c>
      <c r="B22" t="s">
        <v>8</v>
      </c>
      <c r="C22">
        <f t="shared" si="0"/>
        <v>0</v>
      </c>
    </row>
    <row r="23" spans="1:3" x14ac:dyDescent="0.4">
      <c r="A23" t="s">
        <v>28</v>
      </c>
      <c r="B23" t="s">
        <v>135</v>
      </c>
      <c r="C23">
        <f t="shared" si="0"/>
        <v>0</v>
      </c>
    </row>
    <row r="24" spans="1:3" x14ac:dyDescent="0.4">
      <c r="A24" t="s">
        <v>50</v>
      </c>
      <c r="B24" t="s">
        <v>51</v>
      </c>
      <c r="C24">
        <f t="shared" si="0"/>
        <v>0</v>
      </c>
    </row>
    <row r="25" spans="1:3" x14ac:dyDescent="0.4">
      <c r="A25" t="s">
        <v>28</v>
      </c>
      <c r="B25" t="s">
        <v>56</v>
      </c>
      <c r="C25">
        <f t="shared" si="0"/>
        <v>0</v>
      </c>
    </row>
    <row r="26" spans="1:3" x14ac:dyDescent="0.4">
      <c r="A26" t="s">
        <v>78</v>
      </c>
      <c r="B26" t="s">
        <v>77</v>
      </c>
      <c r="C26">
        <f t="shared" si="0"/>
        <v>0</v>
      </c>
    </row>
    <row r="27" spans="1:3" x14ac:dyDescent="0.4">
      <c r="A27" t="s">
        <v>127</v>
      </c>
      <c r="B27" t="s">
        <v>115</v>
      </c>
      <c r="C27">
        <f t="shared" si="0"/>
        <v>0</v>
      </c>
    </row>
    <row r="28" spans="1:3" x14ac:dyDescent="0.4">
      <c r="A28" t="s">
        <v>125</v>
      </c>
      <c r="B28" t="s">
        <v>111</v>
      </c>
      <c r="C28">
        <f t="shared" si="0"/>
        <v>0</v>
      </c>
    </row>
    <row r="29" spans="1:3" x14ac:dyDescent="0.4">
      <c r="A29" t="s">
        <v>127</v>
      </c>
      <c r="B29" t="s">
        <v>113</v>
      </c>
      <c r="C29">
        <f t="shared" si="0"/>
        <v>0</v>
      </c>
    </row>
    <row r="30" spans="1:3" x14ac:dyDescent="0.4">
      <c r="A30" t="s">
        <v>125</v>
      </c>
      <c r="B30" t="s">
        <v>114</v>
      </c>
      <c r="C30">
        <f t="shared" si="0"/>
        <v>0</v>
      </c>
    </row>
    <row r="31" spans="1:3" x14ac:dyDescent="0.4">
      <c r="A31" t="s">
        <v>127</v>
      </c>
      <c r="B31" t="s">
        <v>116</v>
      </c>
      <c r="C31">
        <f t="shared" si="0"/>
        <v>0</v>
      </c>
    </row>
    <row r="32" spans="1:3" x14ac:dyDescent="0.4">
      <c r="A32" t="s">
        <v>125</v>
      </c>
      <c r="B32" t="s">
        <v>117</v>
      </c>
      <c r="C32">
        <f t="shared" si="0"/>
        <v>0</v>
      </c>
    </row>
    <row r="33" spans="1:7" x14ac:dyDescent="0.4">
      <c r="A33" t="s">
        <v>126</v>
      </c>
      <c r="B33" t="s">
        <v>136</v>
      </c>
      <c r="C33">
        <f t="shared" si="0"/>
        <v>0</v>
      </c>
    </row>
    <row r="34" spans="1:7" x14ac:dyDescent="0.4">
      <c r="A34" t="s">
        <v>30</v>
      </c>
      <c r="B34" t="s">
        <v>20</v>
      </c>
      <c r="C34">
        <f t="shared" ref="C34:C65" si="1">SUM(D34:O34)</f>
        <v>1</v>
      </c>
      <c r="D34">
        <v>1</v>
      </c>
    </row>
    <row r="35" spans="1:7" x14ac:dyDescent="0.4">
      <c r="A35" t="s">
        <v>30</v>
      </c>
      <c r="B35" t="s">
        <v>24</v>
      </c>
      <c r="C35">
        <f t="shared" si="1"/>
        <v>0</v>
      </c>
    </row>
    <row r="36" spans="1:7" x14ac:dyDescent="0.4">
      <c r="A36" t="s">
        <v>30</v>
      </c>
      <c r="B36" t="s">
        <v>18</v>
      </c>
      <c r="C36">
        <f t="shared" si="1"/>
        <v>0</v>
      </c>
    </row>
    <row r="37" spans="1:7" x14ac:dyDescent="0.4">
      <c r="A37" t="s">
        <v>30</v>
      </c>
      <c r="B37" t="s">
        <v>23</v>
      </c>
      <c r="C37">
        <f t="shared" si="1"/>
        <v>0</v>
      </c>
    </row>
    <row r="38" spans="1:7" x14ac:dyDescent="0.4">
      <c r="A38" t="s">
        <v>109</v>
      </c>
      <c r="B38" t="s">
        <v>123</v>
      </c>
      <c r="C38">
        <f t="shared" si="1"/>
        <v>0</v>
      </c>
    </row>
    <row r="39" spans="1:7" x14ac:dyDescent="0.4">
      <c r="A39" t="s">
        <v>30</v>
      </c>
      <c r="B39" t="s">
        <v>25</v>
      </c>
      <c r="C39">
        <f t="shared" si="1"/>
        <v>0</v>
      </c>
    </row>
    <row r="40" spans="1:7" x14ac:dyDescent="0.4">
      <c r="A40" t="s">
        <v>85</v>
      </c>
      <c r="B40" t="s">
        <v>84</v>
      </c>
      <c r="C40">
        <f t="shared" si="1"/>
        <v>0</v>
      </c>
    </row>
    <row r="41" spans="1:7" x14ac:dyDescent="0.4">
      <c r="A41" t="s">
        <v>30</v>
      </c>
      <c r="B41" t="s">
        <v>12</v>
      </c>
      <c r="C41">
        <f t="shared" si="1"/>
        <v>1</v>
      </c>
      <c r="D41">
        <v>1</v>
      </c>
    </row>
    <row r="42" spans="1:7" x14ac:dyDescent="0.4">
      <c r="A42" t="s">
        <v>88</v>
      </c>
      <c r="B42" t="s">
        <v>89</v>
      </c>
      <c r="C42">
        <f t="shared" si="1"/>
        <v>0</v>
      </c>
    </row>
    <row r="43" spans="1:7" x14ac:dyDescent="0.4">
      <c r="A43" t="s">
        <v>30</v>
      </c>
      <c r="B43" t="s">
        <v>13</v>
      </c>
      <c r="C43">
        <f t="shared" si="1"/>
        <v>0</v>
      </c>
    </row>
    <row r="44" spans="1:7" x14ac:dyDescent="0.4">
      <c r="A44" t="s">
        <v>30</v>
      </c>
      <c r="B44" t="s">
        <v>14</v>
      </c>
      <c r="C44">
        <f t="shared" si="1"/>
        <v>1</v>
      </c>
      <c r="G44">
        <v>1</v>
      </c>
    </row>
    <row r="45" spans="1:7" x14ac:dyDescent="0.4">
      <c r="A45" t="s">
        <v>30</v>
      </c>
      <c r="B45" t="s">
        <v>11</v>
      </c>
      <c r="C45">
        <f t="shared" si="1"/>
        <v>0</v>
      </c>
    </row>
    <row r="46" spans="1:7" x14ac:dyDescent="0.4">
      <c r="A46" t="s">
        <v>124</v>
      </c>
      <c r="B46" t="s">
        <v>110</v>
      </c>
      <c r="C46">
        <f t="shared" si="1"/>
        <v>0</v>
      </c>
    </row>
    <row r="47" spans="1:7" x14ac:dyDescent="0.4">
      <c r="A47" t="s">
        <v>79</v>
      </c>
      <c r="B47" t="s">
        <v>80</v>
      </c>
      <c r="C47">
        <f t="shared" si="1"/>
        <v>0</v>
      </c>
    </row>
    <row r="48" spans="1:7" x14ac:dyDescent="0.4">
      <c r="A48" t="s">
        <v>29</v>
      </c>
      <c r="B48" t="s">
        <v>35</v>
      </c>
      <c r="C48">
        <f t="shared" si="1"/>
        <v>2</v>
      </c>
      <c r="D48">
        <v>1</v>
      </c>
      <c r="G48">
        <v>1</v>
      </c>
    </row>
    <row r="49" spans="1:7" x14ac:dyDescent="0.4">
      <c r="A49" t="s">
        <v>29</v>
      </c>
      <c r="B49" t="s">
        <v>34</v>
      </c>
      <c r="C49">
        <f t="shared" si="1"/>
        <v>0</v>
      </c>
    </row>
    <row r="50" spans="1:7" x14ac:dyDescent="0.4">
      <c r="A50" t="s">
        <v>29</v>
      </c>
      <c r="B50" t="s">
        <v>15</v>
      </c>
      <c r="C50">
        <f t="shared" si="1"/>
        <v>0</v>
      </c>
    </row>
    <row r="51" spans="1:7" x14ac:dyDescent="0.4">
      <c r="A51" t="s">
        <v>29</v>
      </c>
      <c r="B51" t="s">
        <v>17</v>
      </c>
      <c r="C51">
        <f t="shared" si="1"/>
        <v>0</v>
      </c>
    </row>
    <row r="52" spans="1:7" x14ac:dyDescent="0.4">
      <c r="A52" t="s">
        <v>29</v>
      </c>
      <c r="B52" t="s">
        <v>16</v>
      </c>
      <c r="C52">
        <f t="shared" si="1"/>
        <v>2</v>
      </c>
      <c r="D52">
        <v>1</v>
      </c>
      <c r="G52">
        <v>1</v>
      </c>
    </row>
    <row r="53" spans="1:7" x14ac:dyDescent="0.4">
      <c r="A53" t="s">
        <v>128</v>
      </c>
      <c r="B53" t="s">
        <v>118</v>
      </c>
      <c r="C53">
        <f t="shared" si="1"/>
        <v>0</v>
      </c>
    </row>
    <row r="54" spans="1:7" x14ac:dyDescent="0.4">
      <c r="A54" t="s">
        <v>26</v>
      </c>
      <c r="B54" t="s">
        <v>2</v>
      </c>
      <c r="C54">
        <f t="shared" si="1"/>
        <v>0</v>
      </c>
    </row>
    <row r="55" spans="1:7" x14ac:dyDescent="0.4">
      <c r="A55" t="s">
        <v>57</v>
      </c>
      <c r="B55" t="s">
        <v>58</v>
      </c>
      <c r="C55">
        <f t="shared" si="1"/>
        <v>0</v>
      </c>
    </row>
    <row r="56" spans="1:7" x14ac:dyDescent="0.4">
      <c r="A56" t="s">
        <v>26</v>
      </c>
      <c r="B56" t="s">
        <v>3</v>
      </c>
      <c r="C56">
        <f t="shared" si="1"/>
        <v>0</v>
      </c>
    </row>
    <row r="57" spans="1:7" x14ac:dyDescent="0.4">
      <c r="A57" t="s">
        <v>44</v>
      </c>
      <c r="B57" t="s">
        <v>45</v>
      </c>
      <c r="C57">
        <f t="shared" si="1"/>
        <v>0</v>
      </c>
    </row>
    <row r="58" spans="1:7" x14ac:dyDescent="0.4">
      <c r="A58" t="s">
        <v>26</v>
      </c>
      <c r="B58" t="s">
        <v>37</v>
      </c>
      <c r="C58">
        <f t="shared" si="1"/>
        <v>0</v>
      </c>
    </row>
    <row r="59" spans="1:7" x14ac:dyDescent="0.4">
      <c r="A59" t="s">
        <v>31</v>
      </c>
      <c r="B59" t="s">
        <v>33</v>
      </c>
      <c r="C59">
        <f t="shared" si="1"/>
        <v>0</v>
      </c>
    </row>
    <row r="60" spans="1:7" x14ac:dyDescent="0.4">
      <c r="A60" t="s">
        <v>47</v>
      </c>
      <c r="B60" t="s">
        <v>48</v>
      </c>
      <c r="C60">
        <f t="shared" si="1"/>
        <v>0</v>
      </c>
    </row>
    <row r="61" spans="1:7" x14ac:dyDescent="0.4">
      <c r="A61" t="s">
        <v>26</v>
      </c>
      <c r="B61" t="s">
        <v>1</v>
      </c>
      <c r="C61">
        <f t="shared" si="1"/>
        <v>0</v>
      </c>
    </row>
    <row r="62" spans="1:7" x14ac:dyDescent="0.4">
      <c r="A62" t="s">
        <v>31</v>
      </c>
      <c r="B62" t="s">
        <v>32</v>
      </c>
      <c r="C62">
        <f t="shared" si="1"/>
        <v>1</v>
      </c>
      <c r="F62">
        <v>1</v>
      </c>
    </row>
    <row r="63" spans="1:7" x14ac:dyDescent="0.4">
      <c r="A63" t="s">
        <v>26</v>
      </c>
      <c r="B63" t="s">
        <v>22</v>
      </c>
      <c r="C63">
        <f t="shared" si="1"/>
        <v>0</v>
      </c>
    </row>
    <row r="64" spans="1:7" x14ac:dyDescent="0.4">
      <c r="A64" t="s">
        <v>26</v>
      </c>
      <c r="B64" t="s">
        <v>36</v>
      </c>
      <c r="C64">
        <f t="shared" si="1"/>
        <v>0</v>
      </c>
    </row>
    <row r="65" spans="1:7" x14ac:dyDescent="0.4">
      <c r="A65" t="s">
        <v>72</v>
      </c>
      <c r="B65" t="s">
        <v>73</v>
      </c>
      <c r="C65">
        <f t="shared" si="1"/>
        <v>1</v>
      </c>
      <c r="D65">
        <v>1</v>
      </c>
    </row>
    <row r="66" spans="1:7" x14ac:dyDescent="0.4">
      <c r="A66" t="s">
        <v>41</v>
      </c>
      <c r="B66" t="s">
        <v>42</v>
      </c>
      <c r="C66">
        <f t="shared" ref="C66:C94" si="2">SUM(D66:O66)</f>
        <v>0</v>
      </c>
    </row>
    <row r="67" spans="1:7" x14ac:dyDescent="0.4">
      <c r="A67" t="s">
        <v>72</v>
      </c>
      <c r="B67" t="s">
        <v>83</v>
      </c>
      <c r="C67">
        <f t="shared" si="2"/>
        <v>0</v>
      </c>
    </row>
    <row r="68" spans="1:7" x14ac:dyDescent="0.4">
      <c r="A68" t="s">
        <v>75</v>
      </c>
      <c r="B68" t="s">
        <v>76</v>
      </c>
      <c r="C68">
        <f t="shared" si="2"/>
        <v>0</v>
      </c>
    </row>
    <row r="69" spans="1:7" x14ac:dyDescent="0.4">
      <c r="A69" t="s">
        <v>26</v>
      </c>
      <c r="B69" s="5" t="s">
        <v>19</v>
      </c>
      <c r="C69">
        <f t="shared" si="2"/>
        <v>0</v>
      </c>
    </row>
    <row r="70" spans="1:7" x14ac:dyDescent="0.4">
      <c r="A70" t="s">
        <v>26</v>
      </c>
      <c r="B70" s="5" t="s">
        <v>21</v>
      </c>
      <c r="C70">
        <f t="shared" si="2"/>
        <v>0</v>
      </c>
    </row>
    <row r="71" spans="1:7" x14ac:dyDescent="0.4">
      <c r="A71" t="s">
        <v>52</v>
      </c>
      <c r="B71" s="5" t="s">
        <v>53</v>
      </c>
      <c r="C71">
        <f t="shared" si="2"/>
        <v>0</v>
      </c>
    </row>
    <row r="72" spans="1:7" x14ac:dyDescent="0.4">
      <c r="A72" t="s">
        <v>61</v>
      </c>
      <c r="B72" s="5" t="s">
        <v>62</v>
      </c>
      <c r="C72">
        <f t="shared" si="2"/>
        <v>0</v>
      </c>
    </row>
    <row r="73" spans="1:7" x14ac:dyDescent="0.4">
      <c r="A73" t="s">
        <v>86</v>
      </c>
      <c r="B73" s="5" t="s">
        <v>87</v>
      </c>
      <c r="C73">
        <f t="shared" si="2"/>
        <v>0</v>
      </c>
    </row>
    <row r="74" spans="1:7" x14ac:dyDescent="0.4">
      <c r="A74" t="s">
        <v>59</v>
      </c>
      <c r="B74" s="5" t="s">
        <v>60</v>
      </c>
      <c r="C74">
        <f t="shared" si="2"/>
        <v>0</v>
      </c>
    </row>
    <row r="75" spans="1:7" x14ac:dyDescent="0.4">
      <c r="A75" t="s">
        <v>59</v>
      </c>
      <c r="B75" s="5" t="s">
        <v>67</v>
      </c>
      <c r="C75">
        <f t="shared" si="2"/>
        <v>0</v>
      </c>
    </row>
    <row r="76" spans="1:7" x14ac:dyDescent="0.4">
      <c r="A76" t="s">
        <v>129</v>
      </c>
      <c r="B76" s="5" t="s">
        <v>131</v>
      </c>
      <c r="C76">
        <f t="shared" si="2"/>
        <v>0</v>
      </c>
    </row>
    <row r="77" spans="1:7" x14ac:dyDescent="0.4">
      <c r="A77" t="s">
        <v>129</v>
      </c>
      <c r="B77" s="5" t="s">
        <v>132</v>
      </c>
      <c r="C77">
        <f t="shared" si="2"/>
        <v>0</v>
      </c>
    </row>
    <row r="78" spans="1:7" x14ac:dyDescent="0.4">
      <c r="A78" t="s">
        <v>129</v>
      </c>
      <c r="B78" s="5" t="s">
        <v>130</v>
      </c>
      <c r="C78">
        <f t="shared" si="2"/>
        <v>0</v>
      </c>
    </row>
    <row r="79" spans="1:7" x14ac:dyDescent="0.4">
      <c r="A79" t="s">
        <v>129</v>
      </c>
      <c r="B79" s="5" t="s">
        <v>133</v>
      </c>
      <c r="C79">
        <f t="shared" si="2"/>
        <v>1</v>
      </c>
      <c r="G79">
        <v>1</v>
      </c>
    </row>
    <row r="80" spans="1:7" x14ac:dyDescent="0.15">
      <c r="A80" t="s">
        <v>68</v>
      </c>
      <c r="B80" s="5" t="s">
        <v>69</v>
      </c>
      <c r="C80">
        <f t="shared" si="2"/>
        <v>0</v>
      </c>
      <c r="E80" s="4"/>
      <c r="F80" s="4"/>
    </row>
    <row r="81" spans="1:7" x14ac:dyDescent="0.4">
      <c r="A81" t="s">
        <v>68</v>
      </c>
      <c r="B81" s="5" t="s">
        <v>66</v>
      </c>
      <c r="C81">
        <f t="shared" si="2"/>
        <v>0</v>
      </c>
    </row>
    <row r="82" spans="1:7" x14ac:dyDescent="0.15">
      <c r="A82" t="s">
        <v>68</v>
      </c>
      <c r="B82" s="5" t="s">
        <v>106</v>
      </c>
      <c r="C82">
        <f t="shared" si="2"/>
        <v>0</v>
      </c>
      <c r="E82" s="4"/>
      <c r="F82" s="4"/>
    </row>
    <row r="83" spans="1:7" x14ac:dyDescent="0.15">
      <c r="A83" t="s">
        <v>68</v>
      </c>
      <c r="B83" s="5" t="s">
        <v>107</v>
      </c>
      <c r="C83">
        <f t="shared" si="2"/>
        <v>1</v>
      </c>
      <c r="E83" s="4"/>
      <c r="F83" s="4"/>
      <c r="G83">
        <v>1</v>
      </c>
    </row>
    <row r="84" spans="1:7" x14ac:dyDescent="0.15">
      <c r="A84" t="s">
        <v>68</v>
      </c>
      <c r="B84" s="5" t="s">
        <v>108</v>
      </c>
      <c r="C84">
        <f t="shared" si="2"/>
        <v>0</v>
      </c>
      <c r="E84" s="4"/>
      <c r="F84" s="4"/>
    </row>
    <row r="85" spans="1:7" x14ac:dyDescent="0.4">
      <c r="A85" t="s">
        <v>68</v>
      </c>
      <c r="B85" s="5" t="s">
        <v>255</v>
      </c>
      <c r="C85">
        <f t="shared" si="2"/>
        <v>1</v>
      </c>
      <c r="G85">
        <v>1</v>
      </c>
    </row>
    <row r="86" spans="1:7" x14ac:dyDescent="0.4">
      <c r="C86">
        <f t="shared" si="2"/>
        <v>0</v>
      </c>
    </row>
    <row r="87" spans="1:7" x14ac:dyDescent="0.4">
      <c r="C87">
        <f t="shared" si="2"/>
        <v>0</v>
      </c>
    </row>
    <row r="88" spans="1:7" x14ac:dyDescent="0.4">
      <c r="C88">
        <f t="shared" si="2"/>
        <v>0</v>
      </c>
    </row>
    <row r="89" spans="1:7" x14ac:dyDescent="0.4">
      <c r="C89">
        <f t="shared" si="2"/>
        <v>0</v>
      </c>
    </row>
    <row r="90" spans="1:7" x14ac:dyDescent="0.4">
      <c r="C90">
        <f t="shared" si="2"/>
        <v>0</v>
      </c>
    </row>
    <row r="91" spans="1:7" x14ac:dyDescent="0.4">
      <c r="C91">
        <f t="shared" si="2"/>
        <v>0</v>
      </c>
    </row>
    <row r="92" spans="1:7" x14ac:dyDescent="0.4">
      <c r="C92">
        <f t="shared" si="2"/>
        <v>0</v>
      </c>
    </row>
    <row r="93" spans="1:7" x14ac:dyDescent="0.4">
      <c r="C93">
        <f t="shared" si="2"/>
        <v>0</v>
      </c>
    </row>
    <row r="94" spans="1:7" x14ac:dyDescent="0.4">
      <c r="C94">
        <f t="shared" si="2"/>
        <v>0</v>
      </c>
    </row>
  </sheetData>
  <autoFilter ref="A1:P68" xr:uid="{00000000-0009-0000-0000-000002000000}">
    <sortState xmlns:xlrd2="http://schemas.microsoft.com/office/spreadsheetml/2017/richdata2" ref="A2:P96">
      <sortCondition ref="A1:A70"/>
    </sortState>
  </autoFilter>
  <sortState xmlns:xlrd2="http://schemas.microsoft.com/office/spreadsheetml/2017/richdata2" ref="A2:F50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58"/>
  <sheetViews>
    <sheetView workbookViewId="0">
      <selection activeCell="E9" sqref="E9"/>
    </sheetView>
  </sheetViews>
  <sheetFormatPr defaultRowHeight="18.75" x14ac:dyDescent="0.4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 x14ac:dyDescent="0.4">
      <c r="A1" s="5" t="s">
        <v>104</v>
      </c>
      <c r="B1" s="5" t="s">
        <v>119</v>
      </c>
      <c r="C1" s="5" t="s">
        <v>120</v>
      </c>
      <c r="D1" s="5" t="s">
        <v>121</v>
      </c>
      <c r="E1" s="5" t="s">
        <v>0</v>
      </c>
      <c r="F1" s="5" t="s">
        <v>122</v>
      </c>
    </row>
    <row r="2" spans="1:6" x14ac:dyDescent="0.15">
      <c r="A2" s="6" t="s">
        <v>145</v>
      </c>
      <c r="B2" s="6" t="s">
        <v>148</v>
      </c>
      <c r="C2" s="6" t="s">
        <v>149</v>
      </c>
      <c r="D2" s="6" t="s">
        <v>150</v>
      </c>
      <c r="E2" s="5" t="str">
        <f t="shared" ref="E2:E7" si="0">C2&amp;D2</f>
        <v>縄江修一</v>
      </c>
      <c r="F2" s="5">
        <f>VLOOKUP(E2,hiyari集計表!$B$2:$C$496,2,FALSE)</f>
        <v>0</v>
      </c>
    </row>
    <row r="3" spans="1:6" x14ac:dyDescent="0.15">
      <c r="A3" s="6" t="s">
        <v>160</v>
      </c>
      <c r="B3" s="6" t="s">
        <v>139</v>
      </c>
      <c r="C3" s="6" t="s">
        <v>144</v>
      </c>
      <c r="D3" s="6" t="s">
        <v>161</v>
      </c>
      <c r="E3" s="5" t="str">
        <f t="shared" si="0"/>
        <v>佐々木健二</v>
      </c>
      <c r="F3" s="5">
        <f>VLOOKUP(E3,hiyari集計表!$B$2:$C$496,2,FALSE)</f>
        <v>0</v>
      </c>
    </row>
    <row r="4" spans="1:6" x14ac:dyDescent="0.15">
      <c r="A4" s="6" t="s">
        <v>160</v>
      </c>
      <c r="B4" s="5" t="s">
        <v>148</v>
      </c>
      <c r="C4" s="5" t="s">
        <v>185</v>
      </c>
      <c r="D4" s="5" t="s">
        <v>186</v>
      </c>
      <c r="E4" s="5" t="str">
        <f t="shared" si="0"/>
        <v>友田勝久</v>
      </c>
      <c r="F4" s="5">
        <f>VLOOKUP(E4,hiyari集計表!$B$2:$C$496,2,FALSE)</f>
        <v>2</v>
      </c>
    </row>
    <row r="5" spans="1:6" x14ac:dyDescent="0.15">
      <c r="A5" s="6" t="s">
        <v>160</v>
      </c>
      <c r="B5" s="5"/>
      <c r="C5" s="5" t="s">
        <v>183</v>
      </c>
      <c r="D5" s="5" t="s">
        <v>189</v>
      </c>
      <c r="E5" s="5" t="str">
        <f t="shared" si="0"/>
        <v>久保田崇仁</v>
      </c>
      <c r="F5" s="5">
        <f>VLOOKUP(E5,hiyari集計表!$B$2:$C$496,2,FALSE)</f>
        <v>0</v>
      </c>
    </row>
    <row r="6" spans="1:6" x14ac:dyDescent="0.15">
      <c r="A6" s="6" t="s">
        <v>160</v>
      </c>
      <c r="B6" s="6"/>
      <c r="C6" s="6" t="s">
        <v>176</v>
      </c>
      <c r="D6" s="6" t="s">
        <v>177</v>
      </c>
      <c r="E6" s="5" t="str">
        <f t="shared" si="0"/>
        <v>山本智基</v>
      </c>
      <c r="F6" s="5">
        <f>VLOOKUP(E6,hiyari集計表!$B$2:$C$496,2,FALSE)</f>
        <v>0</v>
      </c>
    </row>
    <row r="7" spans="1:6" x14ac:dyDescent="0.4">
      <c r="A7" s="5" t="s">
        <v>190</v>
      </c>
      <c r="B7" s="5"/>
      <c r="C7" s="5" t="s">
        <v>209</v>
      </c>
      <c r="D7" s="5" t="s">
        <v>210</v>
      </c>
      <c r="E7" s="5" t="str">
        <f t="shared" si="0"/>
        <v>石川雄太</v>
      </c>
      <c r="F7" s="5">
        <f>VLOOKUP(E7,hiyari集計表!$B$2:$C$496,2,FALSE)</f>
        <v>0</v>
      </c>
    </row>
    <row r="8" spans="1:6" x14ac:dyDescent="0.15">
      <c r="A8" s="6" t="s">
        <v>145</v>
      </c>
      <c r="B8" s="6"/>
      <c r="C8" s="6" t="s">
        <v>157</v>
      </c>
      <c r="D8" s="6" t="s">
        <v>158</v>
      </c>
      <c r="E8" s="5" t="s">
        <v>251</v>
      </c>
      <c r="F8" s="5">
        <f>VLOOKUP(E8,hiyari集計表!$B$2:$C$496,2,FALSE)</f>
        <v>0</v>
      </c>
    </row>
    <row r="9" spans="1:6" x14ac:dyDescent="0.15">
      <c r="A9" s="6" t="s">
        <v>145</v>
      </c>
      <c r="B9" s="6"/>
      <c r="C9" s="6" t="s">
        <v>153</v>
      </c>
      <c r="D9" s="6" t="s">
        <v>154</v>
      </c>
      <c r="E9" s="5" t="str">
        <f t="shared" ref="E9:E40" si="1">C9&amp;D9</f>
        <v>池谷一志</v>
      </c>
      <c r="F9" s="5">
        <f>VLOOKUP(E9,hiyari集計表!$B$2:$C$496,2,FALSE)</f>
        <v>0</v>
      </c>
    </row>
    <row r="10" spans="1:6" x14ac:dyDescent="0.15">
      <c r="A10" s="6" t="s">
        <v>145</v>
      </c>
      <c r="B10" s="6"/>
      <c r="C10" s="6" t="s">
        <v>155</v>
      </c>
      <c r="D10" s="6" t="s">
        <v>156</v>
      </c>
      <c r="E10" s="5" t="str">
        <f t="shared" si="1"/>
        <v>川上司</v>
      </c>
      <c r="F10" s="5">
        <f>VLOOKUP(E10,hiyari集計表!$B$2:$C$496,2,FALSE)</f>
        <v>0</v>
      </c>
    </row>
    <row r="11" spans="1:6" x14ac:dyDescent="0.15">
      <c r="A11" s="6" t="s">
        <v>160</v>
      </c>
      <c r="B11" s="5" t="s">
        <v>164</v>
      </c>
      <c r="C11" s="6" t="s">
        <v>165</v>
      </c>
      <c r="D11" s="6" t="s">
        <v>166</v>
      </c>
      <c r="E11" s="5" t="str">
        <f t="shared" si="1"/>
        <v>宮本伸秋</v>
      </c>
      <c r="F11" s="5">
        <f>VLOOKUP(E11,hiyari集計表!$B$2:$C$496,2,FALSE)</f>
        <v>1</v>
      </c>
    </row>
    <row r="12" spans="1:6" x14ac:dyDescent="0.15">
      <c r="A12" s="6" t="s">
        <v>160</v>
      </c>
      <c r="B12" s="5" t="s">
        <v>148</v>
      </c>
      <c r="C12" s="6" t="s">
        <v>167</v>
      </c>
      <c r="D12" s="6" t="s">
        <v>168</v>
      </c>
      <c r="E12" s="5" t="str">
        <f t="shared" si="1"/>
        <v>中本直基</v>
      </c>
      <c r="F12" s="5">
        <f>VLOOKUP(E12,hiyari集計表!$B$2:$C$496,2,FALSE)</f>
        <v>0</v>
      </c>
    </row>
    <row r="13" spans="1:6" x14ac:dyDescent="0.15">
      <c r="A13" s="6" t="s">
        <v>160</v>
      </c>
      <c r="B13" s="6" t="s">
        <v>148</v>
      </c>
      <c r="C13" s="6" t="s">
        <v>169</v>
      </c>
      <c r="D13" s="6" t="s">
        <v>170</v>
      </c>
      <c r="E13" s="5" t="str">
        <f t="shared" si="1"/>
        <v>西谷健司</v>
      </c>
      <c r="F13" s="5">
        <f>VLOOKUP(E13,hiyari集計表!$B$2:$C$496,2,FALSE)</f>
        <v>0</v>
      </c>
    </row>
    <row r="14" spans="1:6" x14ac:dyDescent="0.15">
      <c r="A14" s="6" t="s">
        <v>160</v>
      </c>
      <c r="B14" s="6" t="s">
        <v>148</v>
      </c>
      <c r="C14" s="6" t="s">
        <v>173</v>
      </c>
      <c r="D14" s="6" t="s">
        <v>175</v>
      </c>
      <c r="E14" s="5" t="str">
        <f t="shared" si="1"/>
        <v>上田悠宇</v>
      </c>
      <c r="F14" s="5">
        <f>VLOOKUP(E14,hiyari集計表!$B$2:$C$496,2,FALSE)</f>
        <v>0</v>
      </c>
    </row>
    <row r="15" spans="1:6" x14ac:dyDescent="0.15">
      <c r="A15" s="6" t="s">
        <v>160</v>
      </c>
      <c r="B15" s="6"/>
      <c r="C15" s="6" t="s">
        <v>178</v>
      </c>
      <c r="D15" s="6" t="s">
        <v>179</v>
      </c>
      <c r="E15" s="5" t="str">
        <f t="shared" si="1"/>
        <v>寺本広大</v>
      </c>
      <c r="F15" s="5">
        <f>VLOOKUP(E15,hiyari集計表!$B$2:$C$496,2,FALSE)</f>
        <v>0</v>
      </c>
    </row>
    <row r="16" spans="1:6" x14ac:dyDescent="0.15">
      <c r="A16" s="6" t="s">
        <v>160</v>
      </c>
      <c r="B16" s="6"/>
      <c r="C16" s="7" t="s">
        <v>180</v>
      </c>
      <c r="D16" s="7" t="s">
        <v>181</v>
      </c>
      <c r="E16" s="5" t="str">
        <f t="shared" si="1"/>
        <v>野田秀哉</v>
      </c>
      <c r="F16" s="5">
        <f>VLOOKUP(E16,hiyari集計表!$B$2:$C$496,2,FALSE)</f>
        <v>0</v>
      </c>
    </row>
    <row r="17" spans="1:6" x14ac:dyDescent="0.4">
      <c r="A17" s="5" t="s">
        <v>190</v>
      </c>
      <c r="B17" s="5" t="s">
        <v>148</v>
      </c>
      <c r="C17" s="5" t="s">
        <v>193</v>
      </c>
      <c r="D17" s="5" t="s">
        <v>194</v>
      </c>
      <c r="E17" s="5" t="str">
        <f t="shared" si="1"/>
        <v>松尾博之</v>
      </c>
      <c r="F17" s="5">
        <f>VLOOKUP(E17,hiyari集計表!$B$2:$C$496,2,FALSE)</f>
        <v>0</v>
      </c>
    </row>
    <row r="18" spans="1:6" x14ac:dyDescent="0.4">
      <c r="A18" s="5" t="s">
        <v>190</v>
      </c>
      <c r="B18" s="5" t="s">
        <v>148</v>
      </c>
      <c r="C18" s="5" t="s">
        <v>195</v>
      </c>
      <c r="D18" s="5" t="s">
        <v>196</v>
      </c>
      <c r="E18" s="5" t="str">
        <f t="shared" si="1"/>
        <v>平一哲</v>
      </c>
      <c r="F18" s="5">
        <f>VLOOKUP(E18,hiyari集計表!$B$2:$C$496,2,FALSE)</f>
        <v>0</v>
      </c>
    </row>
    <row r="19" spans="1:6" x14ac:dyDescent="0.4">
      <c r="A19" s="5" t="s">
        <v>190</v>
      </c>
      <c r="B19" s="5" t="s">
        <v>148</v>
      </c>
      <c r="C19" s="5" t="s">
        <v>197</v>
      </c>
      <c r="D19" s="5" t="s">
        <v>198</v>
      </c>
      <c r="E19" s="5" t="str">
        <f t="shared" si="1"/>
        <v>飯塚敬三</v>
      </c>
      <c r="F19" s="5">
        <f>VLOOKUP(E19,hiyari集計表!$B$2:$C$496,2,FALSE)</f>
        <v>0</v>
      </c>
    </row>
    <row r="20" spans="1:6" x14ac:dyDescent="0.4">
      <c r="A20" s="5" t="s">
        <v>190</v>
      </c>
      <c r="B20" s="5"/>
      <c r="C20" s="5" t="s">
        <v>201</v>
      </c>
      <c r="D20" s="5" t="s">
        <v>202</v>
      </c>
      <c r="E20" s="5" t="str">
        <f t="shared" si="1"/>
        <v>清水正男</v>
      </c>
      <c r="F20" s="5">
        <f>VLOOKUP(E20,hiyari集計表!$B$2:$C$496,2,FALSE)</f>
        <v>0</v>
      </c>
    </row>
    <row r="21" spans="1:6" x14ac:dyDescent="0.4">
      <c r="A21" s="5" t="s">
        <v>190</v>
      </c>
      <c r="B21" s="5"/>
      <c r="C21" s="5" t="s">
        <v>203</v>
      </c>
      <c r="D21" s="5" t="s">
        <v>204</v>
      </c>
      <c r="E21" s="5" t="str">
        <f t="shared" si="1"/>
        <v>大崎真靖</v>
      </c>
      <c r="F21" s="5">
        <f>VLOOKUP(E21,hiyari集計表!$B$2:$C$496,2,FALSE)</f>
        <v>0</v>
      </c>
    </row>
    <row r="22" spans="1:6" x14ac:dyDescent="0.4">
      <c r="A22" s="5" t="s">
        <v>190</v>
      </c>
      <c r="B22" s="5"/>
      <c r="C22" s="5" t="s">
        <v>205</v>
      </c>
      <c r="D22" s="5" t="s">
        <v>206</v>
      </c>
      <c r="E22" s="5" t="str">
        <f t="shared" si="1"/>
        <v>浅津慧</v>
      </c>
      <c r="F22" s="5">
        <f>VLOOKUP(E22,hiyari集計表!$B$2:$C$496,2,FALSE)</f>
        <v>0</v>
      </c>
    </row>
    <row r="23" spans="1:6" x14ac:dyDescent="0.4">
      <c r="A23" s="5" t="s">
        <v>190</v>
      </c>
      <c r="B23" s="5"/>
      <c r="C23" s="5" t="s">
        <v>207</v>
      </c>
      <c r="D23" s="5" t="s">
        <v>208</v>
      </c>
      <c r="E23" s="5" t="str">
        <f t="shared" si="1"/>
        <v>今岡和則</v>
      </c>
      <c r="F23" s="5">
        <f>VLOOKUP(E23,hiyari集計表!$B$2:$C$496,2,FALSE)</f>
        <v>0</v>
      </c>
    </row>
    <row r="24" spans="1:6" x14ac:dyDescent="0.4">
      <c r="A24" s="5" t="s">
        <v>190</v>
      </c>
      <c r="B24" s="5"/>
      <c r="C24" s="5" t="s">
        <v>249</v>
      </c>
      <c r="D24" s="5" t="s">
        <v>211</v>
      </c>
      <c r="E24" s="5" t="str">
        <f t="shared" si="1"/>
        <v>森山凌太</v>
      </c>
      <c r="F24" s="5">
        <f>VLOOKUP(E24,hiyari集計表!$B$2:$C$496,2,FALSE)</f>
        <v>0</v>
      </c>
    </row>
    <row r="25" spans="1:6" x14ac:dyDescent="0.4">
      <c r="A25" s="5" t="s">
        <v>190</v>
      </c>
      <c r="B25" s="5"/>
      <c r="C25" s="5" t="s">
        <v>138</v>
      </c>
      <c r="D25" s="5" t="s">
        <v>216</v>
      </c>
      <c r="E25" s="5" t="str">
        <f t="shared" si="1"/>
        <v>吉田淳子</v>
      </c>
      <c r="F25" s="5">
        <f>VLOOKUP(E25,hiyari集計表!$B$2:$C$496,2,FALSE)</f>
        <v>0</v>
      </c>
    </row>
    <row r="26" spans="1:6" x14ac:dyDescent="0.4">
      <c r="A26" s="5" t="s">
        <v>190</v>
      </c>
      <c r="B26" s="5"/>
      <c r="C26" s="5" t="s">
        <v>217</v>
      </c>
      <c r="D26" s="5" t="s">
        <v>218</v>
      </c>
      <c r="E26" s="5" t="str">
        <f t="shared" si="1"/>
        <v>桐原幹子</v>
      </c>
      <c r="F26" s="5">
        <f>VLOOKUP(E26,hiyari集計表!$B$2:$C$496,2,FALSE)</f>
        <v>0</v>
      </c>
    </row>
    <row r="27" spans="1:6" x14ac:dyDescent="0.4">
      <c r="A27" s="5" t="s">
        <v>190</v>
      </c>
      <c r="B27" s="5"/>
      <c r="C27" s="5" t="s">
        <v>219</v>
      </c>
      <c r="D27" s="5" t="s">
        <v>220</v>
      </c>
      <c r="E27" s="5" t="str">
        <f t="shared" si="1"/>
        <v>竹下三和</v>
      </c>
      <c r="F27" s="5">
        <f>VLOOKUP(E27,hiyari集計表!$B$2:$C$496,2,FALSE)</f>
        <v>0</v>
      </c>
    </row>
    <row r="28" spans="1:6" x14ac:dyDescent="0.4">
      <c r="A28" s="5" t="s">
        <v>190</v>
      </c>
      <c r="B28" s="5"/>
      <c r="C28" s="5" t="s">
        <v>142</v>
      </c>
      <c r="D28" s="5" t="s">
        <v>221</v>
      </c>
      <c r="E28" s="5" t="str">
        <f t="shared" si="1"/>
        <v>藤原綾菜</v>
      </c>
      <c r="F28" s="5">
        <f>VLOOKUP(E28,hiyari集計表!$B$2:$C$496,2,FALSE)</f>
        <v>0</v>
      </c>
    </row>
    <row r="29" spans="1:6" x14ac:dyDescent="0.4">
      <c r="A29" s="5" t="s">
        <v>190</v>
      </c>
      <c r="B29" s="5"/>
      <c r="C29" s="5" t="s">
        <v>222</v>
      </c>
      <c r="D29" s="5" t="s">
        <v>224</v>
      </c>
      <c r="E29" s="5" t="str">
        <f t="shared" si="1"/>
        <v>重見勝彦</v>
      </c>
      <c r="F29" s="5">
        <f>VLOOKUP(E29,hiyari集計表!$B$2:$C$496,2,FALSE)</f>
        <v>0</v>
      </c>
    </row>
    <row r="30" spans="1:6" x14ac:dyDescent="0.4">
      <c r="A30" s="5" t="s">
        <v>190</v>
      </c>
      <c r="B30" s="5"/>
      <c r="C30" s="5" t="s">
        <v>225</v>
      </c>
      <c r="D30" s="5" t="s">
        <v>226</v>
      </c>
      <c r="E30" s="5" t="str">
        <f t="shared" si="1"/>
        <v>竹中純司</v>
      </c>
      <c r="F30" s="5">
        <f>VLOOKUP(E30,hiyari集計表!$B$2:$C$496,2,FALSE)</f>
        <v>0</v>
      </c>
    </row>
    <row r="31" spans="1:6" x14ac:dyDescent="0.4">
      <c r="A31" s="5" t="s">
        <v>190</v>
      </c>
      <c r="B31" s="5"/>
      <c r="C31" s="5" t="s">
        <v>227</v>
      </c>
      <c r="D31" s="5" t="s">
        <v>228</v>
      </c>
      <c r="E31" s="5" t="str">
        <f t="shared" si="1"/>
        <v>松下優希</v>
      </c>
      <c r="F31" s="5">
        <f>VLOOKUP(E31,hiyari集計表!$B$2:$C$496,2,FALSE)</f>
        <v>0</v>
      </c>
    </row>
    <row r="32" spans="1:6" x14ac:dyDescent="0.4">
      <c r="A32" s="5" t="s">
        <v>229</v>
      </c>
      <c r="B32" s="5" t="s">
        <v>182</v>
      </c>
      <c r="C32" s="5" t="s">
        <v>230</v>
      </c>
      <c r="D32" s="5" t="s">
        <v>231</v>
      </c>
      <c r="E32" s="5" t="str">
        <f t="shared" si="1"/>
        <v>幸地秀隆</v>
      </c>
      <c r="F32" s="5">
        <f>VLOOKUP(E32,hiyari集計表!$B$2:$C$496,2,FALSE)</f>
        <v>0</v>
      </c>
    </row>
    <row r="33" spans="1:6" x14ac:dyDescent="0.4">
      <c r="A33" s="5" t="s">
        <v>229</v>
      </c>
      <c r="B33" s="5" t="s">
        <v>148</v>
      </c>
      <c r="C33" s="5" t="s">
        <v>143</v>
      </c>
      <c r="D33" s="5" t="s">
        <v>232</v>
      </c>
      <c r="E33" s="5" t="str">
        <f t="shared" si="1"/>
        <v>内田幸一</v>
      </c>
      <c r="F33" s="5">
        <f>VLOOKUP(E33,hiyari集計表!$B$2:$C$496,2,FALSE)</f>
        <v>0</v>
      </c>
    </row>
    <row r="34" spans="1:6" x14ac:dyDescent="0.4">
      <c r="A34" s="5" t="s">
        <v>229</v>
      </c>
      <c r="B34" s="5" t="s">
        <v>148</v>
      </c>
      <c r="C34" s="5" t="s">
        <v>233</v>
      </c>
      <c r="D34" s="5" t="s">
        <v>234</v>
      </c>
      <c r="E34" s="5" t="str">
        <f t="shared" si="1"/>
        <v>溝邉俊希</v>
      </c>
      <c r="F34" s="5">
        <f>VLOOKUP(E34,hiyari集計表!$B$2:$C$496,2,FALSE)</f>
        <v>0</v>
      </c>
    </row>
    <row r="35" spans="1:6" x14ac:dyDescent="0.4">
      <c r="A35" s="5" t="s">
        <v>229</v>
      </c>
      <c r="B35" s="5" t="s">
        <v>148</v>
      </c>
      <c r="C35" s="5" t="s">
        <v>183</v>
      </c>
      <c r="D35" s="5" t="s">
        <v>235</v>
      </c>
      <c r="E35" s="5" t="str">
        <f t="shared" si="1"/>
        <v>久保田恭平</v>
      </c>
      <c r="F35" s="5">
        <f>VLOOKUP(E35,hiyari集計表!$B$2:$C$496,2,FALSE)</f>
        <v>0</v>
      </c>
    </row>
    <row r="36" spans="1:6" x14ac:dyDescent="0.4">
      <c r="A36" s="5" t="s">
        <v>229</v>
      </c>
      <c r="B36" s="5"/>
      <c r="C36" s="5" t="s">
        <v>236</v>
      </c>
      <c r="D36" s="5" t="s">
        <v>237</v>
      </c>
      <c r="E36" s="5" t="str">
        <f t="shared" si="1"/>
        <v>漆谷俊治</v>
      </c>
      <c r="F36" s="5">
        <f>VLOOKUP(E36,hiyari集計表!$B$2:$C$496,2,FALSE)</f>
        <v>0</v>
      </c>
    </row>
    <row r="37" spans="1:6" x14ac:dyDescent="0.4">
      <c r="A37" s="5" t="s">
        <v>229</v>
      </c>
      <c r="B37" s="5"/>
      <c r="C37" s="5" t="s">
        <v>159</v>
      </c>
      <c r="D37" s="5" t="s">
        <v>238</v>
      </c>
      <c r="E37" s="5" t="str">
        <f t="shared" si="1"/>
        <v>山藤進一</v>
      </c>
      <c r="F37" s="5">
        <f>VLOOKUP(E37,hiyari集計表!$B$2:$C$496,2,FALSE)</f>
        <v>0</v>
      </c>
    </row>
    <row r="38" spans="1:6" x14ac:dyDescent="0.4">
      <c r="A38" s="5" t="s">
        <v>229</v>
      </c>
      <c r="B38" s="5"/>
      <c r="C38" s="5" t="s">
        <v>239</v>
      </c>
      <c r="D38" s="5" t="s">
        <v>240</v>
      </c>
      <c r="E38" s="5" t="str">
        <f t="shared" si="1"/>
        <v>松前裕之</v>
      </c>
      <c r="F38" s="5">
        <f>VLOOKUP(E38,hiyari集計表!$B$2:$C$496,2,FALSE)</f>
        <v>0</v>
      </c>
    </row>
    <row r="39" spans="1:6" x14ac:dyDescent="0.4">
      <c r="A39" s="5" t="s">
        <v>229</v>
      </c>
      <c r="B39" s="5"/>
      <c r="C39" s="5" t="s">
        <v>241</v>
      </c>
      <c r="D39" s="5" t="s">
        <v>242</v>
      </c>
      <c r="E39" s="5" t="str">
        <f t="shared" si="1"/>
        <v>小林達矢</v>
      </c>
      <c r="F39" s="5">
        <f>VLOOKUP(E39,hiyari集計表!$B$2:$C$496,2,FALSE)</f>
        <v>0</v>
      </c>
    </row>
    <row r="40" spans="1:6" x14ac:dyDescent="0.4">
      <c r="A40" s="5" t="s">
        <v>229</v>
      </c>
      <c r="B40" s="5"/>
      <c r="C40" s="5" t="s">
        <v>140</v>
      </c>
      <c r="D40" s="5" t="s">
        <v>243</v>
      </c>
      <c r="E40" s="5" t="str">
        <f t="shared" si="1"/>
        <v>川口裕矢</v>
      </c>
      <c r="F40" s="5">
        <f>VLOOKUP(E40,hiyari集計表!$B$2:$C$496,2,FALSE)</f>
        <v>0</v>
      </c>
    </row>
    <row r="41" spans="1:6" x14ac:dyDescent="0.4">
      <c r="A41" s="5" t="s">
        <v>229</v>
      </c>
      <c r="B41" s="5"/>
      <c r="C41" s="5" t="s">
        <v>244</v>
      </c>
      <c r="D41" s="5" t="s">
        <v>245</v>
      </c>
      <c r="E41" s="5" t="str">
        <f t="shared" ref="E41:E58" si="2">C41&amp;D41</f>
        <v>山根直希</v>
      </c>
      <c r="F41" s="5">
        <f>VLOOKUP(E41,hiyari集計表!$B$2:$C$496,2,FALSE)</f>
        <v>0</v>
      </c>
    </row>
    <row r="42" spans="1:6" x14ac:dyDescent="0.4">
      <c r="A42" s="5" t="s">
        <v>229</v>
      </c>
      <c r="B42" s="5"/>
      <c r="C42" s="5" t="s">
        <v>241</v>
      </c>
      <c r="D42" s="5" t="s">
        <v>246</v>
      </c>
      <c r="E42" s="5" t="str">
        <f t="shared" si="2"/>
        <v>小林純平</v>
      </c>
      <c r="F42" s="5">
        <f>VLOOKUP(E42,hiyari集計表!$B$2:$C$496,2,FALSE)</f>
        <v>1</v>
      </c>
    </row>
    <row r="43" spans="1:6" x14ac:dyDescent="0.4">
      <c r="A43" s="5" t="s">
        <v>229</v>
      </c>
      <c r="B43" s="5"/>
      <c r="C43" s="5" t="s">
        <v>247</v>
      </c>
      <c r="D43" s="5" t="s">
        <v>248</v>
      </c>
      <c r="E43" s="5" t="str">
        <f t="shared" si="2"/>
        <v>富安零音</v>
      </c>
      <c r="F43" s="5">
        <f>VLOOKUP(E43,hiyari集計表!$B$2:$C$496,2,FALSE)</f>
        <v>1</v>
      </c>
    </row>
    <row r="44" spans="1:6" x14ac:dyDescent="0.15">
      <c r="A44" s="6" t="s">
        <v>160</v>
      </c>
      <c r="B44" s="6" t="s">
        <v>148</v>
      </c>
      <c r="C44" s="6" t="s">
        <v>173</v>
      </c>
      <c r="D44" s="6" t="s">
        <v>174</v>
      </c>
      <c r="E44" s="5" t="str">
        <f t="shared" si="2"/>
        <v>上田拓郎</v>
      </c>
      <c r="F44" s="5">
        <f>VLOOKUP(E44,hiyari集計表!$B$2:$C$496,2,FALSE)</f>
        <v>1</v>
      </c>
    </row>
    <row r="45" spans="1:6" x14ac:dyDescent="0.15">
      <c r="A45" s="6" t="s">
        <v>160</v>
      </c>
      <c r="B45" s="6" t="s">
        <v>146</v>
      </c>
      <c r="C45" s="6" t="s">
        <v>162</v>
      </c>
      <c r="D45" s="6" t="s">
        <v>163</v>
      </c>
      <c r="E45" s="5" t="str">
        <f t="shared" si="2"/>
        <v>坂根洋介</v>
      </c>
      <c r="F45" s="5">
        <f>VLOOKUP(E45,hiyari集計表!$B$2:$C$496,2,FALSE)</f>
        <v>0</v>
      </c>
    </row>
    <row r="46" spans="1:6" x14ac:dyDescent="0.15">
      <c r="A46" s="6" t="s">
        <v>160</v>
      </c>
      <c r="B46" s="6" t="s">
        <v>148</v>
      </c>
      <c r="C46" s="6" t="s">
        <v>171</v>
      </c>
      <c r="D46" s="6" t="s">
        <v>172</v>
      </c>
      <c r="E46" s="5" t="str">
        <f t="shared" si="2"/>
        <v>富永知弘</v>
      </c>
      <c r="F46" s="5">
        <f>VLOOKUP(E46,hiyari集計表!$B$2:$C$496,2,FALSE)</f>
        <v>1</v>
      </c>
    </row>
    <row r="47" spans="1:6" x14ac:dyDescent="0.15">
      <c r="A47" s="6" t="s">
        <v>160</v>
      </c>
      <c r="B47" s="5" t="s">
        <v>182</v>
      </c>
      <c r="C47" s="5" t="s">
        <v>183</v>
      </c>
      <c r="D47" s="5" t="s">
        <v>184</v>
      </c>
      <c r="E47" s="5" t="str">
        <f t="shared" si="2"/>
        <v>久保田拓也</v>
      </c>
      <c r="F47" s="5">
        <f>VLOOKUP(E47,hiyari集計表!$B$2:$C$496,2,FALSE)</f>
        <v>0</v>
      </c>
    </row>
    <row r="48" spans="1:6" x14ac:dyDescent="0.15">
      <c r="A48" s="6" t="s">
        <v>160</v>
      </c>
      <c r="B48" s="5" t="s">
        <v>148</v>
      </c>
      <c r="C48" s="5" t="s">
        <v>187</v>
      </c>
      <c r="D48" s="5" t="s">
        <v>188</v>
      </c>
      <c r="E48" s="5" t="str">
        <f t="shared" si="2"/>
        <v>上村龍則</v>
      </c>
      <c r="F48" s="5">
        <f>VLOOKUP(E48,hiyari集計表!$B$2:$C$496,2,FALSE)</f>
        <v>2</v>
      </c>
    </row>
    <row r="49" spans="1:6" x14ac:dyDescent="0.4">
      <c r="A49" s="5" t="s">
        <v>190</v>
      </c>
      <c r="B49" s="5"/>
      <c r="C49" s="5" t="s">
        <v>199</v>
      </c>
      <c r="D49" s="5" t="s">
        <v>200</v>
      </c>
      <c r="E49" s="5" t="str">
        <f t="shared" si="2"/>
        <v>長島成幸</v>
      </c>
      <c r="F49" s="5">
        <f>VLOOKUP(E49,hiyari集計表!$B$2:$C$496,2,FALSE)</f>
        <v>0</v>
      </c>
    </row>
    <row r="50" spans="1:6" x14ac:dyDescent="0.4">
      <c r="A50" s="5" t="s">
        <v>190</v>
      </c>
      <c r="B50" s="5"/>
      <c r="C50" s="5" t="s">
        <v>214</v>
      </c>
      <c r="D50" s="5" t="s">
        <v>215</v>
      </c>
      <c r="E50" s="5" t="str">
        <f t="shared" si="2"/>
        <v>田中隆侍</v>
      </c>
      <c r="F50" s="5">
        <f>VLOOKUP(E50,hiyari集計表!$B$2:$C$496,2,FALSE)</f>
        <v>0</v>
      </c>
    </row>
    <row r="51" spans="1:6" x14ac:dyDescent="0.15">
      <c r="A51" s="6" t="s">
        <v>145</v>
      </c>
      <c r="B51" s="6" t="s">
        <v>146</v>
      </c>
      <c r="C51" s="7" t="s">
        <v>147</v>
      </c>
      <c r="D51" s="7" t="s">
        <v>141</v>
      </c>
      <c r="E51" s="5" t="str">
        <f t="shared" si="2"/>
        <v>児玉直樹</v>
      </c>
      <c r="F51" s="5">
        <f>VLOOKUP(E51,hiyari集計表!$B$2:$C$496,2,FALSE)</f>
        <v>1</v>
      </c>
    </row>
    <row r="52" spans="1:6" x14ac:dyDescent="0.15">
      <c r="A52" s="6" t="s">
        <v>145</v>
      </c>
      <c r="B52" s="6" t="s">
        <v>148</v>
      </c>
      <c r="C52" s="6" t="s">
        <v>151</v>
      </c>
      <c r="D52" s="6" t="s">
        <v>152</v>
      </c>
      <c r="E52" s="5" t="str">
        <f t="shared" si="2"/>
        <v>和田香織</v>
      </c>
      <c r="F52" s="5">
        <f>VLOOKUP(E52,hiyari集計表!$B$2:$C$496,2,FALSE)</f>
        <v>1</v>
      </c>
    </row>
    <row r="53" spans="1:6" x14ac:dyDescent="0.4">
      <c r="A53" s="5" t="s">
        <v>190</v>
      </c>
      <c r="B53" s="5" t="s">
        <v>182</v>
      </c>
      <c r="C53" s="5" t="s">
        <v>191</v>
      </c>
      <c r="D53" s="5" t="s">
        <v>192</v>
      </c>
      <c r="E53" s="5" t="str">
        <f t="shared" si="2"/>
        <v>大野大介</v>
      </c>
      <c r="F53" s="5">
        <f>VLOOKUP(E53,hiyari集計表!$B$2:$C$496,2,FALSE)</f>
        <v>0</v>
      </c>
    </row>
    <row r="54" spans="1:6" x14ac:dyDescent="0.4">
      <c r="A54" s="5" t="s">
        <v>190</v>
      </c>
      <c r="B54" s="5"/>
      <c r="C54" s="5" t="s">
        <v>222</v>
      </c>
      <c r="D54" s="5" t="s">
        <v>223</v>
      </c>
      <c r="E54" s="5" t="str">
        <f t="shared" si="2"/>
        <v>重見恵子</v>
      </c>
      <c r="F54" s="5">
        <f>VLOOKUP(E54,hiyari集計表!$B$2:$C$496,2,FALSE)</f>
        <v>0</v>
      </c>
    </row>
    <row r="55" spans="1:6" x14ac:dyDescent="0.4">
      <c r="A55" s="5" t="s">
        <v>190</v>
      </c>
      <c r="B55" s="5"/>
      <c r="C55" s="5" t="s">
        <v>212</v>
      </c>
      <c r="D55" s="5" t="s">
        <v>213</v>
      </c>
      <c r="E55" s="5" t="str">
        <f t="shared" si="2"/>
        <v>粟谷明</v>
      </c>
      <c r="F55" s="5">
        <f>VLOOKUP(E55,hiyari集計表!$B$2:$C$496,2,FALSE)</f>
        <v>1</v>
      </c>
    </row>
    <row r="56" spans="1:6" x14ac:dyDescent="0.4">
      <c r="E56" s="8" t="str">
        <f t="shared" si="2"/>
        <v/>
      </c>
    </row>
    <row r="57" spans="1:6" x14ac:dyDescent="0.4">
      <c r="E57" s="5" t="str">
        <f t="shared" si="2"/>
        <v/>
      </c>
    </row>
    <row r="58" spans="1:6" x14ac:dyDescent="0.4">
      <c r="E58" s="5" t="str">
        <f t="shared" si="2"/>
        <v/>
      </c>
    </row>
  </sheetData>
  <autoFilter ref="A1:F15" xr:uid="{00000000-0009-0000-0000-000003000000}">
    <sortState xmlns:xlrd2="http://schemas.microsoft.com/office/spreadsheetml/2017/richdata2"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C20" sqref="C2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 t="s">
        <v>252</v>
      </c>
      <c r="B1" s="1" t="s">
        <v>253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2024-05-23T04:51:49Z</cp:lastPrinted>
  <dcterms:created xsi:type="dcterms:W3CDTF">2018-09-26T04:23:29Z</dcterms:created>
  <dcterms:modified xsi:type="dcterms:W3CDTF">2024-06-10T08:03:46Z</dcterms:modified>
</cp:coreProperties>
</file>