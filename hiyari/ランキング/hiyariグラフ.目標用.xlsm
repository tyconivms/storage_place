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92.168.100.100\安全衛生課\github(安全ポータル更新)\storage_place\hiyari\ランキング\"/>
    </mc:Choice>
  </mc:AlternateContent>
  <xr:revisionPtr revIDLastSave="0" documentId="13_ncr:1_{6F838398-0E68-4082-B920-3393FFB0356B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hiyariグラフ" sheetId="2" r:id="rId1"/>
    <sheet name="hiyari集計表並べ替え" sheetId="3" r:id="rId2"/>
    <sheet name="hiyari集計表" sheetId="1" r:id="rId3"/>
    <sheet name="組織図" sheetId="5" r:id="rId4"/>
    <sheet name="目標用" sheetId="4" r:id="rId5"/>
  </sheets>
  <definedNames>
    <definedName name="_xlnm._FilterDatabase" localSheetId="2" hidden="1">hiyari集計表!$A$1:$P$68</definedName>
    <definedName name="_xlnm._FilterDatabase" localSheetId="1" hidden="1">hiyari集計表並べ替え!$A$1:$B$94</definedName>
    <definedName name="_xlnm._FilterDatabase" localSheetId="3" hidden="1">組織図!$A$1:$F$15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6" i="5" l="1"/>
  <c r="E3" i="5"/>
  <c r="E28" i="5"/>
  <c r="E58" i="5" l="1"/>
  <c r="E57" i="5"/>
  <c r="E56" i="5"/>
  <c r="E43" i="5"/>
  <c r="E42" i="5"/>
  <c r="E41" i="5"/>
  <c r="E40" i="5"/>
  <c r="E39" i="5"/>
  <c r="E38" i="5"/>
  <c r="E37" i="5"/>
  <c r="E36" i="5"/>
  <c r="E35" i="5"/>
  <c r="E34" i="5"/>
  <c r="E33" i="5"/>
  <c r="E32" i="5"/>
  <c r="E31" i="5"/>
  <c r="E30" i="5"/>
  <c r="E29" i="5"/>
  <c r="E54" i="5"/>
  <c r="E27" i="5"/>
  <c r="E26" i="5"/>
  <c r="E25" i="5"/>
  <c r="E50" i="5"/>
  <c r="E55" i="5"/>
  <c r="E24" i="5"/>
  <c r="E7" i="5"/>
  <c r="E23" i="5"/>
  <c r="E22" i="5"/>
  <c r="E21" i="5"/>
  <c r="E20" i="5"/>
  <c r="E49" i="5"/>
  <c r="E19" i="5"/>
  <c r="E18" i="5"/>
  <c r="E17" i="5"/>
  <c r="E53" i="5"/>
  <c r="E5" i="5"/>
  <c r="E48" i="5"/>
  <c r="E4" i="5"/>
  <c r="E47" i="5"/>
  <c r="E16" i="5"/>
  <c r="E15" i="5"/>
  <c r="E14" i="5"/>
  <c r="E44" i="5"/>
  <c r="E46" i="5"/>
  <c r="E13" i="5"/>
  <c r="E12" i="5"/>
  <c r="E11" i="5"/>
  <c r="E45" i="5"/>
  <c r="E10" i="5"/>
  <c r="E52" i="5"/>
  <c r="E2" i="5"/>
  <c r="E51" i="5"/>
  <c r="C94" i="1" l="1"/>
  <c r="C93" i="1"/>
  <c r="C92" i="1"/>
  <c r="C91" i="1"/>
  <c r="C90" i="1"/>
  <c r="C89" i="1"/>
  <c r="C88" i="1"/>
  <c r="C87" i="1"/>
  <c r="C86" i="1"/>
  <c r="C85" i="1"/>
  <c r="C80" i="1"/>
  <c r="C84" i="1"/>
  <c r="C83" i="1"/>
  <c r="C82" i="1"/>
  <c r="C78" i="1"/>
  <c r="C79" i="1"/>
  <c r="C77" i="1"/>
  <c r="C76" i="1"/>
  <c r="C81" i="1"/>
  <c r="C75" i="1"/>
  <c r="C74" i="1"/>
  <c r="C73" i="1"/>
  <c r="C72" i="1"/>
  <c r="C68" i="1"/>
  <c r="F38" i="5" s="1"/>
  <c r="C55" i="1"/>
  <c r="C60" i="1"/>
  <c r="F35" i="5" s="1"/>
  <c r="C71" i="1"/>
  <c r="C57" i="1"/>
  <c r="F36" i="5" s="1"/>
  <c r="C69" i="1"/>
  <c r="F34" i="5" s="1"/>
  <c r="C56" i="1"/>
  <c r="F33" i="5" s="1"/>
  <c r="C64" i="1"/>
  <c r="F37" i="5" s="1"/>
  <c r="C61" i="1"/>
  <c r="F32" i="5" s="1"/>
  <c r="C65" i="1"/>
  <c r="F43" i="5" s="1"/>
  <c r="C67" i="1"/>
  <c r="C59" i="1"/>
  <c r="F40" i="5" s="1"/>
  <c r="C62" i="1"/>
  <c r="F42" i="5" s="1"/>
  <c r="C63" i="1"/>
  <c r="F39" i="5" s="1"/>
  <c r="C58" i="1"/>
  <c r="C70" i="1"/>
  <c r="F41" i="5" s="1"/>
  <c r="C66" i="1"/>
  <c r="C54" i="1"/>
  <c r="C53" i="1"/>
  <c r="C48" i="1"/>
  <c r="F48" i="5" s="1"/>
  <c r="C50" i="1"/>
  <c r="F47" i="5" s="1"/>
  <c r="C52" i="1"/>
  <c r="F4" i="5" s="1"/>
  <c r="C49" i="1"/>
  <c r="F5" i="5" s="1"/>
  <c r="C51" i="1"/>
  <c r="C46" i="1"/>
  <c r="F6" i="5" s="1"/>
  <c r="C39" i="1"/>
  <c r="C38" i="1"/>
  <c r="F3" i="5" s="1"/>
  <c r="C34" i="1"/>
  <c r="F44" i="5" s="1"/>
  <c r="C42" i="1"/>
  <c r="F12" i="5" s="1"/>
  <c r="C47" i="1"/>
  <c r="F16" i="5" s="1"/>
  <c r="C35" i="1"/>
  <c r="F14" i="5" s="1"/>
  <c r="C36" i="1"/>
  <c r="C44" i="1"/>
  <c r="F11" i="5" s="1"/>
  <c r="C43" i="1"/>
  <c r="F13" i="5" s="1"/>
  <c r="C37" i="1"/>
  <c r="F45" i="5" s="1"/>
  <c r="C41" i="1"/>
  <c r="F46" i="5" s="1"/>
  <c r="C45" i="1"/>
  <c r="C40" i="1"/>
  <c r="F15" i="5" s="1"/>
  <c r="C32" i="1"/>
  <c r="F30" i="5" s="1"/>
  <c r="C23" i="1"/>
  <c r="F31" i="5" s="1"/>
  <c r="C17" i="1"/>
  <c r="F54" i="5" s="1"/>
  <c r="C21" i="1"/>
  <c r="F28" i="5" s="1"/>
  <c r="C31" i="1"/>
  <c r="F27" i="5" s="1"/>
  <c r="C27" i="1"/>
  <c r="F23" i="5" s="1"/>
  <c r="C30" i="1"/>
  <c r="F22" i="5" s="1"/>
  <c r="C29" i="1"/>
  <c r="F20" i="5" s="1"/>
  <c r="C33" i="1"/>
  <c r="F49" i="5" s="1"/>
  <c r="C28" i="1"/>
  <c r="F17" i="5" s="1"/>
  <c r="C24" i="1"/>
  <c r="F24" i="5" s="1"/>
  <c r="C12" i="1"/>
  <c r="F7" i="5" s="1"/>
  <c r="C14" i="1"/>
  <c r="F21" i="5" s="1"/>
  <c r="C25" i="1"/>
  <c r="F25" i="5" s="1"/>
  <c r="C20" i="1"/>
  <c r="F50" i="5" s="1"/>
  <c r="C18" i="1"/>
  <c r="F18" i="5" s="1"/>
  <c r="C19" i="1"/>
  <c r="C13" i="1"/>
  <c r="C22" i="1"/>
  <c r="C26" i="1"/>
  <c r="F26" i="5" s="1"/>
  <c r="C16" i="1"/>
  <c r="F29" i="5" s="1"/>
  <c r="C11" i="1"/>
  <c r="F19" i="5" s="1"/>
  <c r="C15" i="1"/>
  <c r="F53" i="5" s="1"/>
  <c r="C10" i="1"/>
  <c r="F55" i="5" s="1"/>
  <c r="C9" i="1"/>
  <c r="F8" i="5" s="1"/>
  <c r="C3" i="1"/>
  <c r="F10" i="5" s="1"/>
  <c r="C2" i="1"/>
  <c r="C8" i="1"/>
  <c r="C4" i="1"/>
  <c r="F51" i="5" s="1"/>
  <c r="C5" i="1"/>
  <c r="C6" i="1"/>
  <c r="F2" i="5" s="1"/>
  <c r="C7" i="1"/>
  <c r="F52" i="5" s="1"/>
  <c r="E9" i="5"/>
  <c r="F9" i="5" l="1"/>
</calcChain>
</file>

<file path=xl/sharedStrings.xml><?xml version="1.0" encoding="utf-8"?>
<sst xmlns="http://schemas.openxmlformats.org/spreadsheetml/2006/main" count="461" uniqueCount="255">
  <si>
    <t>名前</t>
    <rPh sb="0" eb="2">
      <t>ナマエ</t>
    </rPh>
    <phoneticPr fontId="1"/>
  </si>
  <si>
    <t>幸地秀隆</t>
    <rPh sb="0" eb="2">
      <t>コウチ</t>
    </rPh>
    <rPh sb="2" eb="4">
      <t>ヒデタカ</t>
    </rPh>
    <phoneticPr fontId="1"/>
  </si>
  <si>
    <t>青木敬洋</t>
    <rPh sb="0" eb="2">
      <t>アオキ</t>
    </rPh>
    <rPh sb="2" eb="3">
      <t>ケイ</t>
    </rPh>
    <rPh sb="3" eb="4">
      <t>ヨウ</t>
    </rPh>
    <phoneticPr fontId="1"/>
  </si>
  <si>
    <t>内田幸一</t>
    <rPh sb="0" eb="2">
      <t>ウチダ</t>
    </rPh>
    <rPh sb="2" eb="4">
      <t>コウイチ</t>
    </rPh>
    <phoneticPr fontId="1"/>
  </si>
  <si>
    <t>池谷一志</t>
    <rPh sb="0" eb="2">
      <t>イケタニ</t>
    </rPh>
    <rPh sb="2" eb="4">
      <t>カズシ</t>
    </rPh>
    <phoneticPr fontId="1"/>
  </si>
  <si>
    <t>和田香織</t>
    <rPh sb="0" eb="2">
      <t>ワダ</t>
    </rPh>
    <rPh sb="2" eb="4">
      <t>カオリ</t>
    </rPh>
    <phoneticPr fontId="1"/>
  </si>
  <si>
    <t>縄江修一</t>
    <rPh sb="0" eb="2">
      <t>ナワエ</t>
    </rPh>
    <rPh sb="2" eb="4">
      <t>シュウイチ</t>
    </rPh>
    <phoneticPr fontId="1"/>
  </si>
  <si>
    <t>児玉直樹</t>
    <rPh sb="0" eb="2">
      <t>コダマ</t>
    </rPh>
    <rPh sb="2" eb="4">
      <t>ナオキ</t>
    </rPh>
    <phoneticPr fontId="1"/>
  </si>
  <si>
    <t>松尾博文</t>
    <rPh sb="0" eb="2">
      <t>マツオ</t>
    </rPh>
    <rPh sb="2" eb="4">
      <t>ヒロフミ</t>
    </rPh>
    <phoneticPr fontId="1"/>
  </si>
  <si>
    <t>大野大介</t>
    <rPh sb="0" eb="2">
      <t>オオノ</t>
    </rPh>
    <rPh sb="2" eb="4">
      <t>ダイスケ</t>
    </rPh>
    <phoneticPr fontId="1"/>
  </si>
  <si>
    <t>高本周平</t>
    <rPh sb="0" eb="2">
      <t>タカモト</t>
    </rPh>
    <rPh sb="2" eb="4">
      <t>シュウヘイ</t>
    </rPh>
    <phoneticPr fontId="1"/>
  </si>
  <si>
    <t>森口忠</t>
    <rPh sb="0" eb="2">
      <t>モリグチ</t>
    </rPh>
    <rPh sb="2" eb="3">
      <t>タダシ</t>
    </rPh>
    <phoneticPr fontId="1"/>
  </si>
  <si>
    <t>富永知弘</t>
    <rPh sb="0" eb="2">
      <t>トミナガ</t>
    </rPh>
    <rPh sb="2" eb="4">
      <t>トモヒロ</t>
    </rPh>
    <phoneticPr fontId="1"/>
  </si>
  <si>
    <t>西谷健司</t>
    <rPh sb="0" eb="2">
      <t>ニシタニ</t>
    </rPh>
    <rPh sb="2" eb="4">
      <t>ケンジ</t>
    </rPh>
    <phoneticPr fontId="1"/>
  </si>
  <si>
    <t>宮本伸秋</t>
    <rPh sb="0" eb="2">
      <t>ミヤモト</t>
    </rPh>
    <rPh sb="2" eb="4">
      <t>ノブアキ</t>
    </rPh>
    <phoneticPr fontId="1"/>
  </si>
  <si>
    <t>久保田拓也</t>
    <rPh sb="0" eb="3">
      <t>クボタ</t>
    </rPh>
    <rPh sb="3" eb="5">
      <t>タクヤ</t>
    </rPh>
    <phoneticPr fontId="1"/>
  </si>
  <si>
    <t>友田勝久</t>
    <rPh sb="0" eb="2">
      <t>トモダ</t>
    </rPh>
    <rPh sb="2" eb="4">
      <t>カツヒサ</t>
    </rPh>
    <phoneticPr fontId="1"/>
  </si>
  <si>
    <t>柴田瞳</t>
    <rPh sb="0" eb="2">
      <t>シバタ</t>
    </rPh>
    <rPh sb="2" eb="3">
      <t>ヒトミ</t>
    </rPh>
    <phoneticPr fontId="1"/>
  </si>
  <si>
    <t>大野貴也</t>
    <rPh sb="0" eb="2">
      <t>オオノ</t>
    </rPh>
    <rPh sb="2" eb="4">
      <t>タカヤ</t>
    </rPh>
    <phoneticPr fontId="1"/>
  </si>
  <si>
    <t>溝邉俊希</t>
    <rPh sb="0" eb="2">
      <t>ミゾベ</t>
    </rPh>
    <rPh sb="2" eb="3">
      <t>シュン</t>
    </rPh>
    <rPh sb="3" eb="4">
      <t>キ</t>
    </rPh>
    <phoneticPr fontId="1"/>
  </si>
  <si>
    <t>上田拓郎</t>
    <rPh sb="0" eb="2">
      <t>ウエダ</t>
    </rPh>
    <rPh sb="2" eb="3">
      <t>タク</t>
    </rPh>
    <rPh sb="3" eb="4">
      <t>ロウ</t>
    </rPh>
    <phoneticPr fontId="1"/>
  </si>
  <si>
    <t>山根直希</t>
    <rPh sb="0" eb="2">
      <t>ヤマネ</t>
    </rPh>
    <rPh sb="2" eb="4">
      <t>ナオキ</t>
    </rPh>
    <phoneticPr fontId="1"/>
  </si>
  <si>
    <t>小林達矢</t>
    <rPh sb="0" eb="2">
      <t>コバヤシ</t>
    </rPh>
    <rPh sb="2" eb="4">
      <t>タツヤ</t>
    </rPh>
    <phoneticPr fontId="1"/>
  </si>
  <si>
    <t>坂根洋介</t>
    <rPh sb="0" eb="2">
      <t>サカネ</t>
    </rPh>
    <rPh sb="2" eb="4">
      <t>ヨウスケ</t>
    </rPh>
    <phoneticPr fontId="1"/>
  </si>
  <si>
    <t>上田悠宇</t>
    <rPh sb="0" eb="2">
      <t>ウエダ</t>
    </rPh>
    <rPh sb="2" eb="3">
      <t>ユウ</t>
    </rPh>
    <rPh sb="3" eb="4">
      <t>ウ</t>
    </rPh>
    <phoneticPr fontId="1"/>
  </si>
  <si>
    <t>佐々木康</t>
    <rPh sb="0" eb="3">
      <t>ササキ</t>
    </rPh>
    <rPh sb="3" eb="4">
      <t>コウ</t>
    </rPh>
    <phoneticPr fontId="1"/>
  </si>
  <si>
    <t>Y</t>
    <phoneticPr fontId="1"/>
  </si>
  <si>
    <t>G</t>
    <phoneticPr fontId="1"/>
  </si>
  <si>
    <t>I</t>
    <phoneticPr fontId="1"/>
  </si>
  <si>
    <t>ON</t>
    <phoneticPr fontId="1"/>
  </si>
  <si>
    <t>O</t>
    <phoneticPr fontId="1"/>
  </si>
  <si>
    <t>Y</t>
    <phoneticPr fontId="1"/>
  </si>
  <si>
    <t>小林純平</t>
    <rPh sb="0" eb="2">
      <t>コバヤシ</t>
    </rPh>
    <rPh sb="2" eb="4">
      <t>ジュンペイ</t>
    </rPh>
    <phoneticPr fontId="1"/>
  </si>
  <si>
    <t>川口裕矢</t>
    <rPh sb="0" eb="2">
      <t>カワグチ</t>
    </rPh>
    <rPh sb="2" eb="3">
      <t>ユウ</t>
    </rPh>
    <rPh sb="3" eb="4">
      <t>ヤ</t>
    </rPh>
    <phoneticPr fontId="1"/>
  </si>
  <si>
    <t>久保田崇仁</t>
    <rPh sb="0" eb="3">
      <t>クボタ</t>
    </rPh>
    <rPh sb="3" eb="4">
      <t>シュウ</t>
    </rPh>
    <rPh sb="4" eb="5">
      <t>ジン</t>
    </rPh>
    <phoneticPr fontId="1"/>
  </si>
  <si>
    <t>上村龍則</t>
    <rPh sb="0" eb="2">
      <t>ウエムラ</t>
    </rPh>
    <rPh sb="2" eb="4">
      <t>タツノリ</t>
    </rPh>
    <phoneticPr fontId="1"/>
  </si>
  <si>
    <t>山藤進一</t>
    <rPh sb="0" eb="2">
      <t>サントウ</t>
    </rPh>
    <rPh sb="2" eb="4">
      <t>シンイチ</t>
    </rPh>
    <phoneticPr fontId="1"/>
  </si>
  <si>
    <t>遠土信夫</t>
    <rPh sb="0" eb="1">
      <t>エン</t>
    </rPh>
    <rPh sb="1" eb="2">
      <t>ド</t>
    </rPh>
    <rPh sb="2" eb="4">
      <t>ノブオ</t>
    </rPh>
    <phoneticPr fontId="1"/>
  </si>
  <si>
    <t>I</t>
    <phoneticPr fontId="1"/>
  </si>
  <si>
    <t>粟谷明</t>
    <rPh sb="0" eb="2">
      <t>アワタニ</t>
    </rPh>
    <rPh sb="2" eb="3">
      <t>アキラ</t>
    </rPh>
    <phoneticPr fontId="1"/>
  </si>
  <si>
    <t>石原雄太</t>
    <rPh sb="0" eb="2">
      <t>イシハラ</t>
    </rPh>
    <rPh sb="2" eb="4">
      <t>ユウタ</t>
    </rPh>
    <phoneticPr fontId="1"/>
  </si>
  <si>
    <t>Y</t>
    <phoneticPr fontId="1"/>
  </si>
  <si>
    <t>内藤大意</t>
    <rPh sb="0" eb="2">
      <t>ナイトウ</t>
    </rPh>
    <rPh sb="2" eb="3">
      <t>ダイ</t>
    </rPh>
    <rPh sb="3" eb="4">
      <t>イ</t>
    </rPh>
    <phoneticPr fontId="1"/>
  </si>
  <si>
    <t>川上司</t>
    <rPh sb="0" eb="2">
      <t>カワカミ</t>
    </rPh>
    <rPh sb="2" eb="3">
      <t>ツカサ</t>
    </rPh>
    <phoneticPr fontId="1"/>
  </si>
  <si>
    <t>Y</t>
    <phoneticPr fontId="1"/>
  </si>
  <si>
    <t>漆谷俊治</t>
    <rPh sb="0" eb="2">
      <t>ウルシダニ</t>
    </rPh>
    <rPh sb="2" eb="3">
      <t>トシ</t>
    </rPh>
    <rPh sb="3" eb="4">
      <t>ナオ</t>
    </rPh>
    <phoneticPr fontId="1"/>
  </si>
  <si>
    <t>飯塚敬三</t>
    <rPh sb="0" eb="2">
      <t>イイヅカ</t>
    </rPh>
    <rPh sb="2" eb="3">
      <t>ケイ</t>
    </rPh>
    <rPh sb="3" eb="4">
      <t>サン</t>
    </rPh>
    <phoneticPr fontId="1"/>
  </si>
  <si>
    <t>Y</t>
    <phoneticPr fontId="1"/>
  </si>
  <si>
    <t>久保田恭平</t>
    <rPh sb="0" eb="3">
      <t>クボタ</t>
    </rPh>
    <rPh sb="3" eb="5">
      <t>キョウヘイ</t>
    </rPh>
    <phoneticPr fontId="1"/>
  </si>
  <si>
    <t>大崎真靖</t>
    <rPh sb="0" eb="2">
      <t>オオサキ</t>
    </rPh>
    <rPh sb="2" eb="3">
      <t>マコト</t>
    </rPh>
    <rPh sb="3" eb="4">
      <t>ヤスシ</t>
    </rPh>
    <phoneticPr fontId="1"/>
  </si>
  <si>
    <t>I</t>
    <phoneticPr fontId="1"/>
  </si>
  <si>
    <t>森山凌太</t>
    <rPh sb="0" eb="2">
      <t>モリヤマ</t>
    </rPh>
    <rPh sb="2" eb="4">
      <t>リョウタ</t>
    </rPh>
    <phoneticPr fontId="1"/>
  </si>
  <si>
    <t>Y</t>
    <phoneticPr fontId="1"/>
  </si>
  <si>
    <t>吉村宏喜</t>
    <rPh sb="0" eb="2">
      <t>ヨシムラ</t>
    </rPh>
    <rPh sb="2" eb="3">
      <t>ヒロシ</t>
    </rPh>
    <rPh sb="3" eb="4">
      <t>キ</t>
    </rPh>
    <phoneticPr fontId="1"/>
  </si>
  <si>
    <t>I</t>
    <phoneticPr fontId="1"/>
  </si>
  <si>
    <t>田中隆侍</t>
    <rPh sb="0" eb="2">
      <t>タナカ</t>
    </rPh>
    <rPh sb="2" eb="3">
      <t>リュウ</t>
    </rPh>
    <rPh sb="3" eb="4">
      <t>サムライ</t>
    </rPh>
    <phoneticPr fontId="1"/>
  </si>
  <si>
    <t>吉田淳子</t>
    <rPh sb="0" eb="2">
      <t>ヨシダ</t>
    </rPh>
    <rPh sb="2" eb="4">
      <t>ジュンコ</t>
    </rPh>
    <phoneticPr fontId="1"/>
  </si>
  <si>
    <t>Y</t>
    <phoneticPr fontId="1"/>
  </si>
  <si>
    <t>池田竜太</t>
    <rPh sb="0" eb="2">
      <t>イケダ</t>
    </rPh>
    <rPh sb="2" eb="3">
      <t>リュウ</t>
    </rPh>
    <rPh sb="3" eb="4">
      <t>タ</t>
    </rPh>
    <phoneticPr fontId="1"/>
  </si>
  <si>
    <t>二</t>
    <rPh sb="0" eb="1">
      <t>ニ</t>
    </rPh>
    <phoneticPr fontId="1"/>
  </si>
  <si>
    <t>岡眞紀</t>
    <rPh sb="0" eb="1">
      <t>オカ</t>
    </rPh>
    <rPh sb="1" eb="2">
      <t>マサ</t>
    </rPh>
    <rPh sb="2" eb="3">
      <t>キ</t>
    </rPh>
    <phoneticPr fontId="1"/>
  </si>
  <si>
    <t>一</t>
    <rPh sb="0" eb="1">
      <t>イチ</t>
    </rPh>
    <phoneticPr fontId="1"/>
  </si>
  <si>
    <t>北山敦士</t>
    <rPh sb="0" eb="2">
      <t>キタヤマ</t>
    </rPh>
    <rPh sb="2" eb="3">
      <t>アツシ</t>
    </rPh>
    <rPh sb="3" eb="4">
      <t>シ</t>
    </rPh>
    <phoneticPr fontId="1"/>
  </si>
  <si>
    <t>I</t>
    <phoneticPr fontId="1"/>
  </si>
  <si>
    <t>平一哲</t>
    <rPh sb="0" eb="3">
      <t>タイライッテツ</t>
    </rPh>
    <phoneticPr fontId="1"/>
  </si>
  <si>
    <t>渡辺哲平</t>
    <rPh sb="0" eb="2">
      <t>ワタナベ</t>
    </rPh>
    <rPh sb="2" eb="4">
      <t>テッペイ</t>
    </rPh>
    <phoneticPr fontId="1"/>
  </si>
  <si>
    <t>中村武史</t>
  </si>
  <si>
    <t>倉中光宏</t>
    <rPh sb="0" eb="2">
      <t>クラナカ</t>
    </rPh>
    <rPh sb="2" eb="4">
      <t>ミツヒロ</t>
    </rPh>
    <phoneticPr fontId="1"/>
  </si>
  <si>
    <t>技</t>
    <rPh sb="0" eb="1">
      <t>ワザ</t>
    </rPh>
    <phoneticPr fontId="1"/>
  </si>
  <si>
    <t>金重光貴</t>
  </si>
  <si>
    <t>畑山康弘</t>
  </si>
  <si>
    <t>G</t>
    <phoneticPr fontId="1"/>
  </si>
  <si>
    <t>Y</t>
    <phoneticPr fontId="1"/>
  </si>
  <si>
    <t>富安零音</t>
    <rPh sb="0" eb="2">
      <t>トミヤス</t>
    </rPh>
    <rPh sb="2" eb="3">
      <t>レイ</t>
    </rPh>
    <rPh sb="3" eb="4">
      <t>オト</t>
    </rPh>
    <phoneticPr fontId="1"/>
  </si>
  <si>
    <t>石川雄太</t>
    <rPh sb="0" eb="2">
      <t>イシカワ</t>
    </rPh>
    <rPh sb="2" eb="4">
      <t>ユウタ</t>
    </rPh>
    <phoneticPr fontId="1"/>
  </si>
  <si>
    <t>Y</t>
    <phoneticPr fontId="1"/>
  </si>
  <si>
    <t>松前裕之</t>
    <rPh sb="0" eb="2">
      <t>マツマエ</t>
    </rPh>
    <rPh sb="2" eb="4">
      <t>ヒロユキ</t>
    </rPh>
    <phoneticPr fontId="1"/>
  </si>
  <si>
    <t>桐原幹子</t>
  </si>
  <si>
    <t>I</t>
    <phoneticPr fontId="1"/>
  </si>
  <si>
    <t>O</t>
    <phoneticPr fontId="1"/>
  </si>
  <si>
    <t>野田秀哉</t>
  </si>
  <si>
    <t>G</t>
    <phoneticPr fontId="1"/>
  </si>
  <si>
    <t>山藤明子</t>
    <rPh sb="0" eb="2">
      <t>サントウ</t>
    </rPh>
    <rPh sb="2" eb="4">
      <t>アキコ</t>
    </rPh>
    <phoneticPr fontId="1"/>
  </si>
  <si>
    <t>房﨑宏喜</t>
    <rPh sb="0" eb="1">
      <t>フサ</t>
    </rPh>
    <rPh sb="1" eb="2">
      <t>ザキ</t>
    </rPh>
    <rPh sb="2" eb="3">
      <t>ヒロシ</t>
    </rPh>
    <rPh sb="3" eb="4">
      <t>キ</t>
    </rPh>
    <phoneticPr fontId="1"/>
  </si>
  <si>
    <t>寺本広大</t>
    <rPh sb="0" eb="2">
      <t>テラモト</t>
    </rPh>
    <phoneticPr fontId="2"/>
  </si>
  <si>
    <t>O</t>
    <phoneticPr fontId="1"/>
  </si>
  <si>
    <t>資</t>
    <rPh sb="0" eb="1">
      <t>シ</t>
    </rPh>
    <phoneticPr fontId="1"/>
  </si>
  <si>
    <t>青木昌司</t>
    <rPh sb="0" eb="2">
      <t>アオキ</t>
    </rPh>
    <rPh sb="2" eb="4">
      <t>ショウジ</t>
    </rPh>
    <phoneticPr fontId="1"/>
  </si>
  <si>
    <t>O</t>
    <phoneticPr fontId="1"/>
  </si>
  <si>
    <t>中本直基</t>
    <rPh sb="0" eb="2">
      <t>ナカモト</t>
    </rPh>
    <rPh sb="2" eb="3">
      <t>スナオ</t>
    </rPh>
    <rPh sb="3" eb="4">
      <t>モトイ</t>
    </rPh>
    <phoneticPr fontId="1"/>
  </si>
  <si>
    <t>I</t>
    <phoneticPr fontId="1"/>
  </si>
  <si>
    <t>重見勝彦</t>
    <rPh sb="0" eb="2">
      <t>シゲミ</t>
    </rPh>
    <rPh sb="2" eb="4">
      <t>カツヒコ</t>
    </rPh>
    <phoneticPr fontId="1"/>
  </si>
  <si>
    <t>3月</t>
    <rPh sb="1" eb="2">
      <t>ガツ</t>
    </rPh>
    <phoneticPr fontId="1"/>
  </si>
  <si>
    <t>4月</t>
  </si>
  <si>
    <t>5月</t>
  </si>
  <si>
    <t>6月</t>
  </si>
  <si>
    <t>7月</t>
  </si>
  <si>
    <t>8月</t>
  </si>
  <si>
    <t>9月</t>
  </si>
  <si>
    <t>10月</t>
  </si>
  <si>
    <t>11月</t>
  </si>
  <si>
    <t>12月</t>
  </si>
  <si>
    <t>1月</t>
  </si>
  <si>
    <t>2月</t>
  </si>
  <si>
    <t>拠点名</t>
    <rPh sb="0" eb="3">
      <t>キョテンメイ</t>
    </rPh>
    <phoneticPr fontId="1"/>
  </si>
  <si>
    <t>※2022.9迄提出数</t>
    <rPh sb="7" eb="8">
      <t>マデ</t>
    </rPh>
    <rPh sb="8" eb="11">
      <t>テイシュツスウ</t>
    </rPh>
    <phoneticPr fontId="1"/>
  </si>
  <si>
    <t>本田秀治</t>
  </si>
  <si>
    <t>觀野明</t>
  </si>
  <si>
    <t>髙木智子</t>
  </si>
  <si>
    <t>O</t>
    <phoneticPr fontId="1"/>
  </si>
  <si>
    <t>山本智基</t>
  </si>
  <si>
    <t>松尾博之</t>
  </si>
  <si>
    <t>長島成幸</t>
  </si>
  <si>
    <t>清水正男</t>
  </si>
  <si>
    <t>浅津慧</t>
  </si>
  <si>
    <t>今岡和則</t>
  </si>
  <si>
    <t>竹下三和</t>
  </si>
  <si>
    <t>竹中純司</t>
  </si>
  <si>
    <t>寺内剛</t>
  </si>
  <si>
    <t>役職</t>
    <rPh sb="0" eb="2">
      <t>ヤクショク</t>
    </rPh>
    <phoneticPr fontId="1"/>
  </si>
  <si>
    <t>氏</t>
    <rPh sb="0" eb="1">
      <t>ウジ</t>
    </rPh>
    <phoneticPr fontId="1"/>
  </si>
  <si>
    <t>名</t>
    <rPh sb="0" eb="1">
      <t>メイ</t>
    </rPh>
    <phoneticPr fontId="1"/>
  </si>
  <si>
    <t>提出件数</t>
    <rPh sb="0" eb="4">
      <t>テイシュツケンスウ</t>
    </rPh>
    <phoneticPr fontId="1"/>
  </si>
  <si>
    <t>佐々木健二</t>
    <rPh sb="0" eb="3">
      <t>ササキ</t>
    </rPh>
    <rPh sb="3" eb="5">
      <t>ケンジ</t>
    </rPh>
    <phoneticPr fontId="1"/>
  </si>
  <si>
    <t>O</t>
    <phoneticPr fontId="1"/>
  </si>
  <si>
    <t>I</t>
    <phoneticPr fontId="1"/>
  </si>
  <si>
    <t>I</t>
    <phoneticPr fontId="1"/>
  </si>
  <si>
    <t>I</t>
    <phoneticPr fontId="1"/>
  </si>
  <si>
    <t>ON</t>
    <phoneticPr fontId="1"/>
  </si>
  <si>
    <t>技</t>
    <rPh sb="0" eb="1">
      <t>ワザ</t>
    </rPh>
    <phoneticPr fontId="1"/>
  </si>
  <si>
    <t>長井壮一</t>
    <rPh sb="0" eb="2">
      <t>ナガイ</t>
    </rPh>
    <rPh sb="2" eb="4">
      <t>ソウイチ</t>
    </rPh>
    <phoneticPr fontId="1"/>
  </si>
  <si>
    <t>天久裕樹</t>
    <rPh sb="0" eb="2">
      <t>アメク</t>
    </rPh>
    <rPh sb="2" eb="4">
      <t>ヒロキ</t>
    </rPh>
    <phoneticPr fontId="1"/>
  </si>
  <si>
    <t>枝根和也</t>
    <rPh sb="0" eb="2">
      <t>エダネ</t>
    </rPh>
    <rPh sb="2" eb="4">
      <t>カズヤ</t>
    </rPh>
    <phoneticPr fontId="1"/>
  </si>
  <si>
    <t>矢尾井潤</t>
    <rPh sb="0" eb="3">
      <t>ヤオイ</t>
    </rPh>
    <rPh sb="3" eb="4">
      <t>ジュン</t>
    </rPh>
    <phoneticPr fontId="1"/>
  </si>
  <si>
    <t>重見恵子</t>
    <rPh sb="0" eb="2">
      <t>シゲミ</t>
    </rPh>
    <phoneticPr fontId="1"/>
  </si>
  <si>
    <t>松下優希</t>
    <rPh sb="0" eb="2">
      <t>マツシタ</t>
    </rPh>
    <rPh sb="2" eb="3">
      <t>ユウ</t>
    </rPh>
    <phoneticPr fontId="1"/>
  </si>
  <si>
    <t>長島成幸</t>
    <phoneticPr fontId="1"/>
  </si>
  <si>
    <t>合計</t>
    <rPh sb="0" eb="2">
      <t>ゴウケイ</t>
    </rPh>
    <phoneticPr fontId="1"/>
  </si>
  <si>
    <t>吉田</t>
    <rPh sb="0" eb="2">
      <t>ヨシダ</t>
    </rPh>
    <phoneticPr fontId="2"/>
  </si>
  <si>
    <t>副長</t>
    <rPh sb="0" eb="2">
      <t>フクチョウ</t>
    </rPh>
    <phoneticPr fontId="2"/>
  </si>
  <si>
    <t>川口</t>
    <rPh sb="0" eb="2">
      <t>カワグチ</t>
    </rPh>
    <phoneticPr fontId="2"/>
  </si>
  <si>
    <t>直樹</t>
    <rPh sb="0" eb="2">
      <t>ナオキ</t>
    </rPh>
    <phoneticPr fontId="2"/>
  </si>
  <si>
    <t>藤原</t>
    <rPh sb="0" eb="2">
      <t>フジハラ</t>
    </rPh>
    <phoneticPr fontId="2"/>
  </si>
  <si>
    <t>内田</t>
    <rPh sb="0" eb="2">
      <t>ウチダ</t>
    </rPh>
    <phoneticPr fontId="2"/>
  </si>
  <si>
    <t>佐々木</t>
    <rPh sb="0" eb="3">
      <t>ササキ</t>
    </rPh>
    <phoneticPr fontId="2"/>
  </si>
  <si>
    <t>江津工場</t>
    <rPh sb="0" eb="4">
      <t>ゴウツコウジョウ</t>
    </rPh>
    <phoneticPr fontId="2"/>
  </si>
  <si>
    <t>職長</t>
    <rPh sb="0" eb="2">
      <t>ショクチョウ</t>
    </rPh>
    <phoneticPr fontId="2"/>
  </si>
  <si>
    <t>児玉</t>
    <rPh sb="0" eb="2">
      <t>コダマ</t>
    </rPh>
    <phoneticPr fontId="2"/>
  </si>
  <si>
    <t>班長</t>
    <rPh sb="0" eb="2">
      <t>ハンチョウ</t>
    </rPh>
    <phoneticPr fontId="2"/>
  </si>
  <si>
    <t>縄江</t>
    <rPh sb="0" eb="1">
      <t>ナワ</t>
    </rPh>
    <rPh sb="1" eb="2">
      <t>エ</t>
    </rPh>
    <phoneticPr fontId="2"/>
  </si>
  <si>
    <t>修一</t>
    <rPh sb="0" eb="2">
      <t>シュウイチ</t>
    </rPh>
    <phoneticPr fontId="2"/>
  </si>
  <si>
    <t>和田</t>
    <rPh sb="0" eb="2">
      <t>ワダ</t>
    </rPh>
    <phoneticPr fontId="2"/>
  </si>
  <si>
    <t>香織</t>
    <rPh sb="0" eb="2">
      <t>カオリ</t>
    </rPh>
    <phoneticPr fontId="2"/>
  </si>
  <si>
    <t>池谷</t>
    <rPh sb="0" eb="2">
      <t>イケタニ</t>
    </rPh>
    <phoneticPr fontId="2"/>
  </si>
  <si>
    <t>一志</t>
    <rPh sb="0" eb="2">
      <t>カズシ</t>
    </rPh>
    <phoneticPr fontId="2"/>
  </si>
  <si>
    <t>川上</t>
    <rPh sb="0" eb="2">
      <t>カワカミ</t>
    </rPh>
    <phoneticPr fontId="2"/>
  </si>
  <si>
    <t>司</t>
    <rPh sb="0" eb="1">
      <t>ツカサ</t>
    </rPh>
    <phoneticPr fontId="2"/>
  </si>
  <si>
    <t>畑山</t>
    <rPh sb="0" eb="2">
      <t>ハタヤマ</t>
    </rPh>
    <phoneticPr fontId="2"/>
  </si>
  <si>
    <t>康弘</t>
    <rPh sb="0" eb="2">
      <t>ヤスヒロ</t>
    </rPh>
    <phoneticPr fontId="2"/>
  </si>
  <si>
    <t>山藤</t>
    <rPh sb="0" eb="2">
      <t>サントウ</t>
    </rPh>
    <phoneticPr fontId="2"/>
  </si>
  <si>
    <t>邑南工場</t>
    <rPh sb="0" eb="1">
      <t>オウ</t>
    </rPh>
    <rPh sb="1" eb="2">
      <t>ミナミ</t>
    </rPh>
    <rPh sb="2" eb="4">
      <t>コウジョウ</t>
    </rPh>
    <phoneticPr fontId="2"/>
  </si>
  <si>
    <t>健二</t>
    <rPh sb="0" eb="2">
      <t>ケンジ</t>
    </rPh>
    <phoneticPr fontId="2"/>
  </si>
  <si>
    <t>坂根</t>
    <rPh sb="0" eb="2">
      <t>サカネ</t>
    </rPh>
    <phoneticPr fontId="2"/>
  </si>
  <si>
    <t>洋介</t>
    <rPh sb="0" eb="2">
      <t>ヨウスケ</t>
    </rPh>
    <phoneticPr fontId="2"/>
  </si>
  <si>
    <t>職長補佐</t>
    <rPh sb="0" eb="4">
      <t>ショクチョウホサ</t>
    </rPh>
    <phoneticPr fontId="2"/>
  </si>
  <si>
    <t>宮本</t>
    <rPh sb="0" eb="2">
      <t>ミヤモト</t>
    </rPh>
    <phoneticPr fontId="2"/>
  </si>
  <si>
    <t>伸秋</t>
    <rPh sb="0" eb="2">
      <t>ノブアキ</t>
    </rPh>
    <phoneticPr fontId="2"/>
  </si>
  <si>
    <t>中本</t>
    <rPh sb="0" eb="2">
      <t>ナカモト</t>
    </rPh>
    <phoneticPr fontId="2"/>
  </si>
  <si>
    <t>直基</t>
    <rPh sb="0" eb="2">
      <t>ナオキ</t>
    </rPh>
    <phoneticPr fontId="2"/>
  </si>
  <si>
    <t>西谷</t>
    <rPh sb="0" eb="2">
      <t>ニシタニ</t>
    </rPh>
    <phoneticPr fontId="2"/>
  </si>
  <si>
    <t>健司</t>
    <rPh sb="0" eb="2">
      <t>ケンジ</t>
    </rPh>
    <phoneticPr fontId="2"/>
  </si>
  <si>
    <t>富永</t>
    <rPh sb="0" eb="2">
      <t>トミナガ</t>
    </rPh>
    <phoneticPr fontId="2"/>
  </si>
  <si>
    <t>知弘</t>
    <rPh sb="0" eb="2">
      <t>トモヒロ</t>
    </rPh>
    <phoneticPr fontId="2"/>
  </si>
  <si>
    <t>上田</t>
    <rPh sb="0" eb="2">
      <t>ウエダ</t>
    </rPh>
    <phoneticPr fontId="2"/>
  </si>
  <si>
    <t>拓郎</t>
    <rPh sb="0" eb="2">
      <t>タクロウ</t>
    </rPh>
    <phoneticPr fontId="2"/>
  </si>
  <si>
    <t>悠宇</t>
    <rPh sb="0" eb="2">
      <t>ユウ</t>
    </rPh>
    <phoneticPr fontId="2"/>
  </si>
  <si>
    <t>山本</t>
    <rPh sb="0" eb="2">
      <t>ヤマモト</t>
    </rPh>
    <phoneticPr fontId="2"/>
  </si>
  <si>
    <t>智基</t>
    <rPh sb="0" eb="2">
      <t>トモモト</t>
    </rPh>
    <phoneticPr fontId="2"/>
  </si>
  <si>
    <t>寺本</t>
    <rPh sb="0" eb="2">
      <t>テラモト</t>
    </rPh>
    <phoneticPr fontId="2"/>
  </si>
  <si>
    <t>広大</t>
    <rPh sb="0" eb="2">
      <t>コウダイ</t>
    </rPh>
    <phoneticPr fontId="2"/>
  </si>
  <si>
    <t>野田</t>
    <rPh sb="0" eb="2">
      <t>ノダ</t>
    </rPh>
    <phoneticPr fontId="2"/>
  </si>
  <si>
    <t>秀哉</t>
    <rPh sb="0" eb="2">
      <t>シュウヤ</t>
    </rPh>
    <phoneticPr fontId="2"/>
  </si>
  <si>
    <t>職長補佐</t>
    <rPh sb="0" eb="2">
      <t>ショクチョウ</t>
    </rPh>
    <rPh sb="2" eb="4">
      <t>ホサ</t>
    </rPh>
    <phoneticPr fontId="2"/>
  </si>
  <si>
    <t>久保田</t>
    <rPh sb="0" eb="3">
      <t>クボタ</t>
    </rPh>
    <phoneticPr fontId="2"/>
  </si>
  <si>
    <t>拓也</t>
    <rPh sb="0" eb="2">
      <t>タクヤ</t>
    </rPh>
    <phoneticPr fontId="2"/>
  </si>
  <si>
    <t>友田</t>
    <rPh sb="0" eb="2">
      <t>トモタ</t>
    </rPh>
    <phoneticPr fontId="2"/>
  </si>
  <si>
    <t>勝久</t>
    <rPh sb="0" eb="2">
      <t>カツヒサ</t>
    </rPh>
    <phoneticPr fontId="2"/>
  </si>
  <si>
    <t>上村</t>
    <rPh sb="0" eb="2">
      <t>ウエムラ</t>
    </rPh>
    <phoneticPr fontId="2"/>
  </si>
  <si>
    <t>龍則</t>
    <rPh sb="0" eb="2">
      <t>タツノリ</t>
    </rPh>
    <phoneticPr fontId="2"/>
  </si>
  <si>
    <t>崇仁</t>
    <rPh sb="0" eb="2">
      <t>タカヒト</t>
    </rPh>
    <phoneticPr fontId="2"/>
  </si>
  <si>
    <t>出雲中子工場</t>
    <rPh sb="0" eb="2">
      <t>イズモ</t>
    </rPh>
    <rPh sb="2" eb="3">
      <t>ナカ</t>
    </rPh>
    <rPh sb="3" eb="4">
      <t>コ</t>
    </rPh>
    <rPh sb="4" eb="6">
      <t>コウジョウ</t>
    </rPh>
    <phoneticPr fontId="2"/>
  </si>
  <si>
    <t>大野</t>
    <rPh sb="0" eb="2">
      <t>オオノ</t>
    </rPh>
    <phoneticPr fontId="2"/>
  </si>
  <si>
    <t>大介</t>
    <rPh sb="0" eb="2">
      <t>ダイスケ</t>
    </rPh>
    <phoneticPr fontId="2"/>
  </si>
  <si>
    <t>松尾</t>
    <rPh sb="0" eb="2">
      <t>マツオ</t>
    </rPh>
    <phoneticPr fontId="2"/>
  </si>
  <si>
    <t>博之</t>
    <rPh sb="0" eb="2">
      <t>ヒロユキ</t>
    </rPh>
    <phoneticPr fontId="2"/>
  </si>
  <si>
    <t>平</t>
    <rPh sb="0" eb="1">
      <t>タイラ</t>
    </rPh>
    <phoneticPr fontId="2"/>
  </si>
  <si>
    <t>一哲</t>
    <rPh sb="0" eb="2">
      <t>イッテツ</t>
    </rPh>
    <phoneticPr fontId="2"/>
  </si>
  <si>
    <t>飯塚</t>
    <rPh sb="0" eb="2">
      <t>イイツカ</t>
    </rPh>
    <phoneticPr fontId="2"/>
  </si>
  <si>
    <t>敬三</t>
    <rPh sb="0" eb="2">
      <t>ケイゾウ</t>
    </rPh>
    <phoneticPr fontId="2"/>
  </si>
  <si>
    <t>長島</t>
    <rPh sb="0" eb="2">
      <t>ナガシマ</t>
    </rPh>
    <phoneticPr fontId="2"/>
  </si>
  <si>
    <t>成幸</t>
    <rPh sb="0" eb="2">
      <t>シゲユキ</t>
    </rPh>
    <phoneticPr fontId="2"/>
  </si>
  <si>
    <t>清水</t>
    <rPh sb="0" eb="2">
      <t>シミズ</t>
    </rPh>
    <phoneticPr fontId="2"/>
  </si>
  <si>
    <t>正男</t>
    <rPh sb="0" eb="2">
      <t>マサオ</t>
    </rPh>
    <phoneticPr fontId="2"/>
  </si>
  <si>
    <t>大崎</t>
    <rPh sb="0" eb="2">
      <t>オオサキ</t>
    </rPh>
    <phoneticPr fontId="2"/>
  </si>
  <si>
    <t>真靖</t>
    <rPh sb="0" eb="1">
      <t>シン</t>
    </rPh>
    <rPh sb="1" eb="2">
      <t>ヤス</t>
    </rPh>
    <phoneticPr fontId="2"/>
  </si>
  <si>
    <t>浅津</t>
    <rPh sb="0" eb="1">
      <t>アサ</t>
    </rPh>
    <rPh sb="1" eb="2">
      <t>ツ</t>
    </rPh>
    <phoneticPr fontId="2"/>
  </si>
  <si>
    <t>慧</t>
    <rPh sb="0" eb="1">
      <t>ケイ</t>
    </rPh>
    <phoneticPr fontId="2"/>
  </si>
  <si>
    <t>今岡</t>
    <rPh sb="0" eb="2">
      <t>イマオカ</t>
    </rPh>
    <phoneticPr fontId="2"/>
  </si>
  <si>
    <t>和則</t>
    <rPh sb="0" eb="2">
      <t>カズノリ</t>
    </rPh>
    <phoneticPr fontId="2"/>
  </si>
  <si>
    <t>石川</t>
    <rPh sb="0" eb="2">
      <t>イシカワ</t>
    </rPh>
    <phoneticPr fontId="2"/>
  </si>
  <si>
    <t>雄太</t>
    <rPh sb="0" eb="2">
      <t>ユウタ</t>
    </rPh>
    <phoneticPr fontId="2"/>
  </si>
  <si>
    <t>凌太</t>
    <rPh sb="0" eb="2">
      <t>リョウタ</t>
    </rPh>
    <phoneticPr fontId="2"/>
  </si>
  <si>
    <t>粟谷</t>
    <rPh sb="0" eb="2">
      <t>アワタニ</t>
    </rPh>
    <phoneticPr fontId="2"/>
  </si>
  <si>
    <t>明</t>
    <rPh sb="0" eb="1">
      <t>アキラ</t>
    </rPh>
    <phoneticPr fontId="2"/>
  </si>
  <si>
    <t>田中</t>
    <rPh sb="0" eb="2">
      <t>タナカ</t>
    </rPh>
    <phoneticPr fontId="2"/>
  </si>
  <si>
    <t>隆侍</t>
    <rPh sb="0" eb="2">
      <t>リュウジ</t>
    </rPh>
    <phoneticPr fontId="2"/>
  </si>
  <si>
    <t>淳子</t>
    <rPh sb="0" eb="2">
      <t>ジュンコ</t>
    </rPh>
    <phoneticPr fontId="2"/>
  </si>
  <si>
    <t>桐原</t>
    <rPh sb="0" eb="2">
      <t>キリハラ</t>
    </rPh>
    <phoneticPr fontId="2"/>
  </si>
  <si>
    <t>幹子</t>
    <rPh sb="0" eb="2">
      <t>ミキコ</t>
    </rPh>
    <phoneticPr fontId="2"/>
  </si>
  <si>
    <t>竹下</t>
    <rPh sb="0" eb="2">
      <t>タケシタ</t>
    </rPh>
    <phoneticPr fontId="2"/>
  </si>
  <si>
    <t>三和</t>
    <rPh sb="0" eb="2">
      <t>ミワ</t>
    </rPh>
    <phoneticPr fontId="2"/>
  </si>
  <si>
    <t>綾菜</t>
    <rPh sb="0" eb="1">
      <t>アヤ</t>
    </rPh>
    <rPh sb="1" eb="2">
      <t>ナ</t>
    </rPh>
    <phoneticPr fontId="2"/>
  </si>
  <si>
    <t>重見</t>
    <rPh sb="0" eb="2">
      <t>シゲミ</t>
    </rPh>
    <phoneticPr fontId="2"/>
  </si>
  <si>
    <t>恵子</t>
    <rPh sb="0" eb="2">
      <t>ケイコ</t>
    </rPh>
    <phoneticPr fontId="2"/>
  </si>
  <si>
    <t>勝彦</t>
    <rPh sb="0" eb="2">
      <t>カツヒコ</t>
    </rPh>
    <phoneticPr fontId="2"/>
  </si>
  <si>
    <t>竹中</t>
    <rPh sb="0" eb="2">
      <t>タケナカ</t>
    </rPh>
    <phoneticPr fontId="2"/>
  </si>
  <si>
    <t>純司</t>
    <rPh sb="0" eb="2">
      <t>ジュンジ</t>
    </rPh>
    <phoneticPr fontId="2"/>
  </si>
  <si>
    <t>松下</t>
    <rPh sb="0" eb="2">
      <t>マツシタ</t>
    </rPh>
    <phoneticPr fontId="2"/>
  </si>
  <si>
    <t>優希</t>
    <rPh sb="0" eb="2">
      <t>ユウキ</t>
    </rPh>
    <phoneticPr fontId="2"/>
  </si>
  <si>
    <t>吉賀中子工場　</t>
    <rPh sb="0" eb="2">
      <t>ヨシガ</t>
    </rPh>
    <rPh sb="2" eb="3">
      <t>ナカ</t>
    </rPh>
    <rPh sb="3" eb="4">
      <t>コ</t>
    </rPh>
    <rPh sb="4" eb="6">
      <t>コウジョウ</t>
    </rPh>
    <phoneticPr fontId="2"/>
  </si>
  <si>
    <t>幸地</t>
    <rPh sb="0" eb="1">
      <t>サチ</t>
    </rPh>
    <rPh sb="1" eb="2">
      <t>チ</t>
    </rPh>
    <phoneticPr fontId="2"/>
  </si>
  <si>
    <t>秀隆</t>
    <rPh sb="0" eb="2">
      <t>ヒデタカ</t>
    </rPh>
    <phoneticPr fontId="2"/>
  </si>
  <si>
    <t>幸一</t>
    <rPh sb="0" eb="2">
      <t>コウイチ</t>
    </rPh>
    <phoneticPr fontId="2"/>
  </si>
  <si>
    <t>溝邉</t>
    <rPh sb="0" eb="2">
      <t>ミゾベ</t>
    </rPh>
    <phoneticPr fontId="2"/>
  </si>
  <si>
    <t>俊希</t>
    <rPh sb="0" eb="2">
      <t>トシキ</t>
    </rPh>
    <phoneticPr fontId="2"/>
  </si>
  <si>
    <t>恭平</t>
    <rPh sb="0" eb="2">
      <t>キョウヘイ</t>
    </rPh>
    <phoneticPr fontId="2"/>
  </si>
  <si>
    <t>漆谷</t>
    <rPh sb="0" eb="1">
      <t>ウルシ</t>
    </rPh>
    <rPh sb="1" eb="2">
      <t>タニ</t>
    </rPh>
    <phoneticPr fontId="2"/>
  </si>
  <si>
    <t>俊治</t>
    <rPh sb="0" eb="2">
      <t>トシハル</t>
    </rPh>
    <phoneticPr fontId="2"/>
  </si>
  <si>
    <t>進一</t>
    <rPh sb="0" eb="2">
      <t>シンイチ</t>
    </rPh>
    <phoneticPr fontId="2"/>
  </si>
  <si>
    <t>松前</t>
    <rPh sb="0" eb="2">
      <t>マツマエ</t>
    </rPh>
    <phoneticPr fontId="2"/>
  </si>
  <si>
    <t>裕之</t>
    <rPh sb="0" eb="2">
      <t>ヒロユキ</t>
    </rPh>
    <phoneticPr fontId="2"/>
  </si>
  <si>
    <t>小林</t>
    <rPh sb="0" eb="2">
      <t>コバヤシ</t>
    </rPh>
    <phoneticPr fontId="2"/>
  </si>
  <si>
    <t>達矢</t>
    <rPh sb="0" eb="1">
      <t>タツ</t>
    </rPh>
    <rPh sb="1" eb="2">
      <t>ヤ</t>
    </rPh>
    <phoneticPr fontId="2"/>
  </si>
  <si>
    <t>裕矢</t>
    <rPh sb="0" eb="1">
      <t>ユウ</t>
    </rPh>
    <rPh sb="1" eb="2">
      <t>ヤ</t>
    </rPh>
    <phoneticPr fontId="2"/>
  </si>
  <si>
    <t>山根</t>
    <rPh sb="0" eb="2">
      <t>ヤマネ</t>
    </rPh>
    <phoneticPr fontId="2"/>
  </si>
  <si>
    <t>直希</t>
    <rPh sb="0" eb="2">
      <t>ナオキ</t>
    </rPh>
    <phoneticPr fontId="2"/>
  </si>
  <si>
    <t>純平</t>
    <rPh sb="0" eb="2">
      <t>ジュンペイ</t>
    </rPh>
    <phoneticPr fontId="2"/>
  </si>
  <si>
    <t>富安</t>
    <rPh sb="0" eb="2">
      <t>トミヤス</t>
    </rPh>
    <phoneticPr fontId="2"/>
  </si>
  <si>
    <t>零音</t>
    <rPh sb="0" eb="2">
      <t>レイオン</t>
    </rPh>
    <phoneticPr fontId="2"/>
  </si>
  <si>
    <t>森山</t>
    <rPh sb="0" eb="2">
      <t>モリヤマ</t>
    </rPh>
    <phoneticPr fontId="2"/>
  </si>
  <si>
    <t>藤原綾菜</t>
    <rPh sb="0" eb="2">
      <t>フジワラ</t>
    </rPh>
    <phoneticPr fontId="1"/>
  </si>
  <si>
    <t>畑山康弘</t>
    <phoneticPr fontId="1"/>
  </si>
  <si>
    <t>積込・積降時災害防止月間</t>
    <phoneticPr fontId="1"/>
  </si>
  <si>
    <t>積込・積降時災害防止月間</t>
    <rPh sb="0" eb="2">
      <t>ツミコミ</t>
    </rPh>
    <rPh sb="3" eb="5">
      <t>ツミオロシ</t>
    </rPh>
    <rPh sb="5" eb="6">
      <t>ジ</t>
    </rPh>
    <rPh sb="6" eb="8">
      <t>サイガイ</t>
    </rPh>
    <rPh sb="8" eb="10">
      <t>ボウシ</t>
    </rPh>
    <rPh sb="10" eb="12">
      <t>ゲッカン</t>
    </rPh>
    <phoneticPr fontId="1"/>
  </si>
  <si>
    <t>年度が変わったときは数字を各月の消して新しく作り直してよい。</t>
    <rPh sb="0" eb="2">
      <t>ネンド</t>
    </rPh>
    <rPh sb="3" eb="4">
      <t>カ</t>
    </rPh>
    <rPh sb="10" eb="12">
      <t>スウジ</t>
    </rPh>
    <rPh sb="13" eb="14">
      <t>カク</t>
    </rPh>
    <rPh sb="14" eb="15">
      <t>ツキ</t>
    </rPh>
    <rPh sb="16" eb="17">
      <t>ケ</t>
    </rPh>
    <rPh sb="19" eb="20">
      <t>アタラ</t>
    </rPh>
    <rPh sb="22" eb="23">
      <t>ツク</t>
    </rPh>
    <rPh sb="24" eb="25">
      <t>ナオ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</si>
</sst>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36"/>
      <color rgb="FFFF0000"/>
      <name val="メイリオ"/>
      <family val="3"/>
      <charset val="128"/>
    </font>
    <font>
      <sz val="11"/>
      <name val="ＭＳ Ｐゴシック"/>
      <family val="3"/>
      <charset val="128"/>
    </font>
    <font>
      <sz val="9"/>
      <name val="ＭＳ Ｐゴシック"/>
      <family val="3"/>
      <charset val="128"/>
    </font>
    <font>
      <sz val="9"/>
      <color indexed="10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3" fillId="0" borderId="0"/>
  </cellStyleXfs>
  <cellXfs count="9">
    <xf numFmtId="0" fontId="0" fillId="0" borderId="0" xfId="0">
      <alignment vertical="center"/>
    </xf>
    <xf numFmtId="0" fontId="2" fillId="0" borderId="0" xfId="0" applyFont="1" applyAlignment="1">
      <alignment horizontal="center"/>
    </xf>
    <xf numFmtId="0" fontId="0" fillId="2" borderId="0" xfId="0" applyFill="1">
      <alignment vertical="center"/>
    </xf>
    <xf numFmtId="56" fontId="0" fillId="0" borderId="0" xfId="0" applyNumberFormat="1">
      <alignment vertical="center"/>
    </xf>
    <xf numFmtId="0" fontId="4" fillId="0" borderId="0" xfId="1" applyFont="1" applyAlignment="1">
      <alignment horizontal="left"/>
    </xf>
    <xf numFmtId="0" fontId="0" fillId="0" borderId="1" xfId="0" applyBorder="1">
      <alignment vertical="center"/>
    </xf>
    <xf numFmtId="0" fontId="4" fillId="0" borderId="1" xfId="1" applyFont="1" applyBorder="1" applyAlignment="1">
      <alignment horizontal="left"/>
    </xf>
    <xf numFmtId="0" fontId="5" fillId="0" borderId="1" xfId="1" applyFont="1" applyBorder="1" applyAlignment="1">
      <alignment horizontal="left"/>
    </xf>
    <xf numFmtId="0" fontId="0" fillId="0" borderId="2" xfId="0" applyBorder="1">
      <alignment vertical="center"/>
    </xf>
  </cellXfs>
  <cellStyles count="2">
    <cellStyle name="標準" xfId="0" builtinId="0"/>
    <cellStyle name="標準_Sheet2" xfId="1" xr:uid="{00000000-0005-0000-0000-000001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none" spc="50" normalizeH="0" baseline="0">
                <a:solidFill>
                  <a:schemeClr val="tx1"/>
                </a:solidFill>
                <a:latin typeface="+mj-lt"/>
                <a:ea typeface="+mj-ea"/>
                <a:cs typeface="+mj-cs"/>
              </a:defRPr>
            </a:pPr>
            <a:r>
              <a:rPr lang="en-US" altLang="ja-JP" sz="1800" b="1">
                <a:solidFill>
                  <a:schemeClr val="tx1"/>
                </a:solidFill>
              </a:rPr>
              <a:t>2024</a:t>
            </a:r>
            <a:r>
              <a:rPr lang="ja-JP" altLang="en-US" sz="1800" b="1">
                <a:solidFill>
                  <a:schemeClr val="tx1"/>
                </a:solidFill>
              </a:rPr>
              <a:t>年度</a:t>
            </a:r>
            <a:r>
              <a:rPr lang="ja-JP" sz="1800" b="1">
                <a:solidFill>
                  <a:schemeClr val="tx1"/>
                </a:solidFill>
              </a:rPr>
              <a:t>ヒヤリハット提出数ランキング</a:t>
            </a:r>
            <a:r>
              <a:rPr lang="ja-JP" altLang="en-US" sz="1800" b="1" baseline="0">
                <a:solidFill>
                  <a:schemeClr val="tx1"/>
                </a:solidFill>
              </a:rPr>
              <a:t>  </a:t>
            </a:r>
            <a:r>
              <a:rPr lang="en-US" altLang="ja-JP" sz="1800" b="1">
                <a:solidFill>
                  <a:schemeClr val="tx1"/>
                </a:solidFill>
              </a:rPr>
              <a:t>5</a:t>
            </a:r>
            <a:r>
              <a:rPr lang="ja-JP" altLang="ja-JP" sz="1800" b="1" i="0" u="none" strike="noStrike" cap="none" normalizeH="0" baseline="0">
                <a:effectLst/>
              </a:rPr>
              <a:t>月度</a:t>
            </a:r>
            <a:r>
              <a:rPr lang="ja-JP" altLang="en-US" sz="1800" b="1" i="0" u="none" strike="noStrike" cap="none" normalizeH="0" baseline="0">
                <a:effectLst/>
              </a:rPr>
              <a:t>迄</a:t>
            </a:r>
            <a:endParaRPr lang="ja-JP" sz="1800" b="1">
              <a:solidFill>
                <a:schemeClr val="tx1"/>
              </a:solidFill>
            </a:endParaRPr>
          </a:p>
        </c:rich>
      </c:tx>
      <c:layout>
        <c:manualLayout>
          <c:xMode val="edge"/>
          <c:yMode val="edge"/>
          <c:x val="0.26216247603815079"/>
          <c:y val="7.1727216757021921E-3"/>
        </c:manualLayout>
      </c:layout>
      <c:overlay val="0"/>
      <c:spPr>
        <a:solidFill>
          <a:schemeClr val="accent4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none" spc="50" normalizeH="0" baseline="0">
              <a:solidFill>
                <a:schemeClr val="tx1"/>
              </a:solidFill>
              <a:latin typeface="+mj-lt"/>
              <a:ea typeface="+mj-ea"/>
              <a:cs typeface="+mj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2.7856668616100061E-2"/>
          <c:y val="0.1080879014906499"/>
          <c:w val="0.95635574616682062"/>
          <c:h val="0.701518852604429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hiyari集計表並べ替え!$B$1</c:f>
              <c:strCache>
                <c:ptCount val="1"/>
                <c:pt idx="0">
                  <c:v>合計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hiyari集計表並べ替え!$A$2:$A$15</c:f>
              <c:strCache>
                <c:ptCount val="14"/>
                <c:pt idx="0">
                  <c:v>和田香織</c:v>
                </c:pt>
                <c:pt idx="1">
                  <c:v>粟谷明</c:v>
                </c:pt>
                <c:pt idx="2">
                  <c:v>上田拓郎</c:v>
                </c:pt>
                <c:pt idx="3">
                  <c:v>富永知弘</c:v>
                </c:pt>
                <c:pt idx="4">
                  <c:v>上村龍則</c:v>
                </c:pt>
                <c:pt idx="5">
                  <c:v>友田勝久</c:v>
                </c:pt>
                <c:pt idx="6">
                  <c:v>小林純平</c:v>
                </c:pt>
                <c:pt idx="7">
                  <c:v>富安零音</c:v>
                </c:pt>
                <c:pt idx="8">
                  <c:v>池谷一志</c:v>
                </c:pt>
                <c:pt idx="9">
                  <c:v>川上司</c:v>
                </c:pt>
                <c:pt idx="10">
                  <c:v>児玉直樹</c:v>
                </c:pt>
                <c:pt idx="11">
                  <c:v>山藤明子</c:v>
                </c:pt>
                <c:pt idx="12">
                  <c:v>縄江修一</c:v>
                </c:pt>
                <c:pt idx="13">
                  <c:v>渡辺哲平</c:v>
                </c:pt>
              </c:strCache>
            </c:strRef>
          </c:cat>
          <c:val>
            <c:numRef>
              <c:f>hiyari集計表並べ替え!$B$2:$B$15</c:f>
              <c:numCache>
                <c:formatCode>General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6D-4BE6-A1F1-825618CDF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25"/>
        <c:axId val="639700128"/>
        <c:axId val="639694552"/>
      </c:barChart>
      <c:catAx>
        <c:axId val="639700128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low"/>
        <c:spPr>
          <a:noFill/>
          <a:ln w="19050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vert="eaVert" wrap="square" anchor="ctr" anchorCtr="0"/>
          <a:lstStyle/>
          <a:p>
            <a:pPr>
              <a:defRPr sz="1200" b="1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9694552"/>
        <c:crosses val="autoZero"/>
        <c:auto val="1"/>
        <c:lblAlgn val="ctr"/>
        <c:lblOffset val="100"/>
        <c:tickMarkSkip val="1"/>
        <c:noMultiLvlLbl val="0"/>
      </c:catAx>
      <c:valAx>
        <c:axId val="639694552"/>
        <c:scaling>
          <c:orientation val="minMax"/>
          <c:max val="5"/>
        </c:scaling>
        <c:delete val="0"/>
        <c:axPos val="l"/>
        <c:majorGridlines>
          <c:spPr>
            <a:ln w="19050" cap="flat" cmpd="sng" algn="ctr">
              <a:solidFill>
                <a:sysClr val="windowText" lastClr="000000"/>
              </a:solidFill>
              <a:prstDash val="sysDot"/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</a:schemeClr>
              </a:solidFill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9700128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paperSize="9"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style1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493059</xdr:colOff>
      <xdr:row>23</xdr:row>
      <xdr:rowOff>19050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533400</xdr:colOff>
      <xdr:row>1</xdr:row>
      <xdr:rowOff>142875</xdr:rowOff>
    </xdr:from>
    <xdr:to>
      <xdr:col>5</xdr:col>
      <xdr:colOff>276225</xdr:colOff>
      <xdr:row>3</xdr:row>
      <xdr:rowOff>123825</xdr:rowOff>
    </xdr:to>
    <xdr:sp macro="[0]!提出数値貼り付け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743200" y="381000"/>
          <a:ext cx="1114425" cy="4572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データコピー</a:t>
          </a:r>
          <a:endParaRPr kumimoji="1" lang="en-US" altLang="ja-JP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7</xdr:row>
      <xdr:rowOff>9525</xdr:rowOff>
    </xdr:from>
    <xdr:to>
      <xdr:col>0</xdr:col>
      <xdr:colOff>1819275</xdr:colOff>
      <xdr:row>7</xdr:row>
      <xdr:rowOff>95250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1666875"/>
          <a:ext cx="1647825" cy="85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180975</xdr:colOff>
      <xdr:row>4</xdr:row>
      <xdr:rowOff>95250</xdr:rowOff>
    </xdr:from>
    <xdr:to>
      <xdr:col>0</xdr:col>
      <xdr:colOff>1828800</xdr:colOff>
      <xdr:row>6</xdr:row>
      <xdr:rowOff>152400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5" y="1238250"/>
          <a:ext cx="1647825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11</xdr:row>
      <xdr:rowOff>161925</xdr:rowOff>
    </xdr:from>
    <xdr:to>
      <xdr:col>0</xdr:col>
      <xdr:colOff>2495550</xdr:colOff>
      <xdr:row>12</xdr:row>
      <xdr:rowOff>9525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505075"/>
          <a:ext cx="2495550" cy="85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10</xdr:row>
      <xdr:rowOff>0</xdr:rowOff>
    </xdr:from>
    <xdr:to>
      <xdr:col>0</xdr:col>
      <xdr:colOff>2495550</xdr:colOff>
      <xdr:row>12</xdr:row>
      <xdr:rowOff>57150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171700"/>
          <a:ext cx="2495550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1619250</xdr:colOff>
      <xdr:row>16</xdr:row>
      <xdr:rowOff>47625</xdr:rowOff>
    </xdr:from>
    <xdr:to>
      <xdr:col>1</xdr:col>
      <xdr:colOff>1704975</xdr:colOff>
      <xdr:row>16</xdr:row>
      <xdr:rowOff>193431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0" y="4114800"/>
          <a:ext cx="3790950" cy="14580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1400175</xdr:colOff>
      <xdr:row>7</xdr:row>
      <xdr:rowOff>200025</xdr:rowOff>
    </xdr:from>
    <xdr:to>
      <xdr:col>5</xdr:col>
      <xdr:colOff>381000</xdr:colOff>
      <xdr:row>10</xdr:row>
      <xdr:rowOff>219075</xdr:rowOff>
    </xdr:to>
    <xdr:pic>
      <xdr:nvPicPr>
        <xdr:cNvPr id="9" name="図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05400" y="2124075"/>
          <a:ext cx="6934200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1666875</xdr:colOff>
      <xdr:row>14</xdr:row>
      <xdr:rowOff>0</xdr:rowOff>
    </xdr:from>
    <xdr:to>
      <xdr:col>1</xdr:col>
      <xdr:colOff>1704975</xdr:colOff>
      <xdr:row>17</xdr:row>
      <xdr:rowOff>19050</xdr:rowOff>
    </xdr:to>
    <xdr:pic>
      <xdr:nvPicPr>
        <xdr:cNvPr id="10" name="図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3077" r="22940"/>
        <a:stretch/>
      </xdr:blipFill>
      <xdr:spPr bwMode="auto">
        <a:xfrm>
          <a:off x="1666875" y="3590925"/>
          <a:ext cx="3743325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0</xdr:row>
      <xdr:rowOff>523875</xdr:rowOff>
    </xdr:from>
    <xdr:to>
      <xdr:col>2</xdr:col>
      <xdr:colOff>49903</xdr:colOff>
      <xdr:row>0</xdr:row>
      <xdr:rowOff>722072</xdr:rowOff>
    </xdr:to>
    <xdr:pic>
      <xdr:nvPicPr>
        <xdr:cNvPr id="11" name="図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05225" y="523875"/>
          <a:ext cx="5945878" cy="1981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2790825</xdr:colOff>
      <xdr:row>15</xdr:row>
      <xdr:rowOff>133350</xdr:rowOff>
    </xdr:from>
    <xdr:to>
      <xdr:col>6</xdr:col>
      <xdr:colOff>57150</xdr:colOff>
      <xdr:row>18</xdr:row>
      <xdr:rowOff>152400</xdr:rowOff>
    </xdr:to>
    <xdr:pic>
      <xdr:nvPicPr>
        <xdr:cNvPr id="20" name="図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96050" y="3962400"/>
          <a:ext cx="5905500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2705100</xdr:colOff>
      <xdr:row>16</xdr:row>
      <xdr:rowOff>219075</xdr:rowOff>
    </xdr:from>
    <xdr:to>
      <xdr:col>5</xdr:col>
      <xdr:colOff>657225</xdr:colOff>
      <xdr:row>20</xdr:row>
      <xdr:rowOff>0</xdr:rowOff>
    </xdr:to>
    <xdr:sp macro="" textlink="">
      <xdr:nvSpPr>
        <xdr:cNvPr id="3079" name="AutoShape 7">
          <a:extLst>
            <a:ext uri="{FF2B5EF4-FFF2-40B4-BE49-F238E27FC236}">
              <a16:creationId xmlns:a16="http://schemas.microsoft.com/office/drawing/2014/main" id="{00000000-0008-0000-0400-0000070C0000}"/>
            </a:ext>
          </a:extLst>
        </xdr:cNvPr>
        <xdr:cNvSpPr>
          <a:spLocks noChangeAspect="1" noChangeArrowheads="1"/>
        </xdr:cNvSpPr>
      </xdr:nvSpPr>
      <xdr:spPr bwMode="auto">
        <a:xfrm>
          <a:off x="6410325" y="4286250"/>
          <a:ext cx="5905500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"/>
  <sheetViews>
    <sheetView tabSelected="1" zoomScale="55" zoomScaleNormal="55" workbookViewId="0">
      <selection activeCell="I40" sqref="I40"/>
    </sheetView>
  </sheetViews>
  <sheetFormatPr defaultRowHeight="18.75" x14ac:dyDescent="0.4"/>
  <cols>
    <col min="2" max="2" width="9" customWidth="1"/>
  </cols>
  <sheetData/>
  <phoneticPr fontId="1"/>
  <pageMargins left="0.7" right="0.7" top="0.75" bottom="0.75" header="0.3" footer="0.3"/>
  <pageSetup paperSize="9" scale="8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94"/>
  <sheetViews>
    <sheetView workbookViewId="0">
      <selection activeCell="C3" sqref="C3"/>
    </sheetView>
  </sheetViews>
  <sheetFormatPr defaultRowHeight="18.75" x14ac:dyDescent="0.4"/>
  <cols>
    <col min="1" max="1" width="11" bestFit="1" customWidth="1"/>
  </cols>
  <sheetData>
    <row r="1" spans="1:2" x14ac:dyDescent="0.4">
      <c r="A1" t="s">
        <v>0</v>
      </c>
      <c r="B1" t="s">
        <v>137</v>
      </c>
    </row>
    <row r="2" spans="1:2" x14ac:dyDescent="0.4">
      <c r="A2" t="s">
        <v>5</v>
      </c>
      <c r="B2">
        <v>1</v>
      </c>
    </row>
    <row r="3" spans="1:2" x14ac:dyDescent="0.4">
      <c r="A3" t="s">
        <v>39</v>
      </c>
      <c r="B3">
        <v>1</v>
      </c>
    </row>
    <row r="4" spans="1:2" x14ac:dyDescent="0.4">
      <c r="A4" t="s">
        <v>20</v>
      </c>
      <c r="B4">
        <v>1</v>
      </c>
    </row>
    <row r="5" spans="1:2" x14ac:dyDescent="0.4">
      <c r="A5" t="s">
        <v>12</v>
      </c>
      <c r="B5">
        <v>1</v>
      </c>
    </row>
    <row r="6" spans="1:2" x14ac:dyDescent="0.4">
      <c r="A6" t="s">
        <v>35</v>
      </c>
      <c r="B6">
        <v>1</v>
      </c>
    </row>
    <row r="7" spans="1:2" x14ac:dyDescent="0.4">
      <c r="A7" t="s">
        <v>16</v>
      </c>
      <c r="B7">
        <v>1</v>
      </c>
    </row>
    <row r="8" spans="1:2" x14ac:dyDescent="0.4">
      <c r="A8" t="s">
        <v>32</v>
      </c>
      <c r="B8">
        <v>1</v>
      </c>
    </row>
    <row r="9" spans="1:2" x14ac:dyDescent="0.4">
      <c r="A9" t="s">
        <v>73</v>
      </c>
      <c r="B9">
        <v>1</v>
      </c>
    </row>
    <row r="10" spans="1:2" x14ac:dyDescent="0.4">
      <c r="A10" t="s">
        <v>4</v>
      </c>
      <c r="B10">
        <v>0</v>
      </c>
    </row>
    <row r="11" spans="1:2" x14ac:dyDescent="0.4">
      <c r="A11" t="s">
        <v>43</v>
      </c>
      <c r="B11">
        <v>0</v>
      </c>
    </row>
    <row r="12" spans="1:2" x14ac:dyDescent="0.4">
      <c r="A12" t="s">
        <v>7</v>
      </c>
      <c r="B12">
        <v>0</v>
      </c>
    </row>
    <row r="13" spans="1:2" x14ac:dyDescent="0.4">
      <c r="A13" t="s">
        <v>82</v>
      </c>
      <c r="B13">
        <v>0</v>
      </c>
    </row>
    <row r="14" spans="1:2" x14ac:dyDescent="0.4">
      <c r="A14" t="s">
        <v>6</v>
      </c>
      <c r="B14">
        <v>0</v>
      </c>
    </row>
    <row r="15" spans="1:2" x14ac:dyDescent="0.4">
      <c r="A15" t="s">
        <v>65</v>
      </c>
      <c r="B15">
        <v>0</v>
      </c>
    </row>
    <row r="16" spans="1:2" x14ac:dyDescent="0.4">
      <c r="A16" t="s">
        <v>70</v>
      </c>
      <c r="B16">
        <v>0</v>
      </c>
    </row>
    <row r="17" spans="1:2" x14ac:dyDescent="0.4">
      <c r="A17" t="s">
        <v>46</v>
      </c>
      <c r="B17">
        <v>0</v>
      </c>
    </row>
    <row r="18" spans="1:2" x14ac:dyDescent="0.4">
      <c r="A18" t="s">
        <v>74</v>
      </c>
      <c r="B18">
        <v>0</v>
      </c>
    </row>
    <row r="19" spans="1:2" x14ac:dyDescent="0.4">
      <c r="A19" t="s">
        <v>40</v>
      </c>
      <c r="B19">
        <v>0</v>
      </c>
    </row>
    <row r="20" spans="1:2" x14ac:dyDescent="0.4">
      <c r="A20" t="s">
        <v>49</v>
      </c>
      <c r="B20">
        <v>0</v>
      </c>
    </row>
    <row r="21" spans="1:2" x14ac:dyDescent="0.4">
      <c r="A21" t="s">
        <v>9</v>
      </c>
      <c r="B21">
        <v>0</v>
      </c>
    </row>
    <row r="22" spans="1:2" x14ac:dyDescent="0.4">
      <c r="A22" t="s">
        <v>91</v>
      </c>
      <c r="B22">
        <v>0</v>
      </c>
    </row>
    <row r="23" spans="1:2" x14ac:dyDescent="0.4">
      <c r="A23" t="s">
        <v>134</v>
      </c>
      <c r="B23">
        <v>0</v>
      </c>
    </row>
    <row r="24" spans="1:2" x14ac:dyDescent="0.4">
      <c r="A24" t="s">
        <v>64</v>
      </c>
      <c r="B24">
        <v>0</v>
      </c>
    </row>
    <row r="25" spans="1:2" x14ac:dyDescent="0.4">
      <c r="A25" t="s">
        <v>10</v>
      </c>
      <c r="B25">
        <v>0</v>
      </c>
    </row>
    <row r="26" spans="1:2" x14ac:dyDescent="0.4">
      <c r="A26" t="s">
        <v>55</v>
      </c>
      <c r="B26">
        <v>0</v>
      </c>
    </row>
    <row r="27" spans="1:2" x14ac:dyDescent="0.4">
      <c r="A27" t="s">
        <v>250</v>
      </c>
      <c r="B27">
        <v>0</v>
      </c>
    </row>
    <row r="28" spans="1:2" x14ac:dyDescent="0.4">
      <c r="A28" t="s">
        <v>8</v>
      </c>
      <c r="B28">
        <v>0</v>
      </c>
    </row>
    <row r="29" spans="1:2" x14ac:dyDescent="0.4">
      <c r="A29" t="s">
        <v>135</v>
      </c>
      <c r="B29">
        <v>0</v>
      </c>
    </row>
    <row r="30" spans="1:2" x14ac:dyDescent="0.4">
      <c r="A30" t="s">
        <v>51</v>
      </c>
      <c r="B30">
        <v>0</v>
      </c>
    </row>
    <row r="31" spans="1:2" x14ac:dyDescent="0.4">
      <c r="A31" t="s">
        <v>56</v>
      </c>
      <c r="B31">
        <v>0</v>
      </c>
    </row>
    <row r="32" spans="1:2" x14ac:dyDescent="0.4">
      <c r="A32" t="s">
        <v>77</v>
      </c>
      <c r="B32">
        <v>0</v>
      </c>
    </row>
    <row r="33" spans="1:2" x14ac:dyDescent="0.4">
      <c r="A33" t="s">
        <v>115</v>
      </c>
      <c r="B33">
        <v>0</v>
      </c>
    </row>
    <row r="34" spans="1:2" x14ac:dyDescent="0.4">
      <c r="A34" t="s">
        <v>111</v>
      </c>
      <c r="B34">
        <v>0</v>
      </c>
    </row>
    <row r="35" spans="1:2" x14ac:dyDescent="0.4">
      <c r="A35" t="s">
        <v>113</v>
      </c>
      <c r="B35">
        <v>0</v>
      </c>
    </row>
    <row r="36" spans="1:2" x14ac:dyDescent="0.4">
      <c r="A36" t="s">
        <v>114</v>
      </c>
      <c r="B36">
        <v>0</v>
      </c>
    </row>
    <row r="37" spans="1:2" x14ac:dyDescent="0.4">
      <c r="A37" t="s">
        <v>116</v>
      </c>
      <c r="B37">
        <v>0</v>
      </c>
    </row>
    <row r="38" spans="1:2" x14ac:dyDescent="0.4">
      <c r="A38" t="s">
        <v>117</v>
      </c>
      <c r="B38">
        <v>0</v>
      </c>
    </row>
    <row r="39" spans="1:2" x14ac:dyDescent="0.4">
      <c r="A39" t="s">
        <v>112</v>
      </c>
      <c r="B39">
        <v>0</v>
      </c>
    </row>
    <row r="40" spans="1:2" x14ac:dyDescent="0.4">
      <c r="A40" t="s">
        <v>24</v>
      </c>
      <c r="B40">
        <v>0</v>
      </c>
    </row>
    <row r="41" spans="1:2" x14ac:dyDescent="0.4">
      <c r="A41" t="s">
        <v>18</v>
      </c>
      <c r="B41">
        <v>0</v>
      </c>
    </row>
    <row r="42" spans="1:2" x14ac:dyDescent="0.4">
      <c r="A42" t="s">
        <v>23</v>
      </c>
      <c r="B42">
        <v>0</v>
      </c>
    </row>
    <row r="43" spans="1:2" x14ac:dyDescent="0.4">
      <c r="A43" t="s">
        <v>123</v>
      </c>
      <c r="B43">
        <v>0</v>
      </c>
    </row>
    <row r="44" spans="1:2" x14ac:dyDescent="0.4">
      <c r="A44" t="s">
        <v>25</v>
      </c>
      <c r="B44">
        <v>0</v>
      </c>
    </row>
    <row r="45" spans="1:2" x14ac:dyDescent="0.4">
      <c r="A45" t="s">
        <v>84</v>
      </c>
      <c r="B45">
        <v>0</v>
      </c>
    </row>
    <row r="46" spans="1:2" x14ac:dyDescent="0.4">
      <c r="A46" t="s">
        <v>89</v>
      </c>
      <c r="B46">
        <v>0</v>
      </c>
    </row>
    <row r="47" spans="1:2" x14ac:dyDescent="0.4">
      <c r="A47" t="s">
        <v>13</v>
      </c>
      <c r="B47">
        <v>0</v>
      </c>
    </row>
    <row r="48" spans="1:2" x14ac:dyDescent="0.4">
      <c r="A48" t="s">
        <v>14</v>
      </c>
      <c r="B48">
        <v>0</v>
      </c>
    </row>
    <row r="49" spans="1:2" x14ac:dyDescent="0.4">
      <c r="A49" t="s">
        <v>11</v>
      </c>
      <c r="B49">
        <v>0</v>
      </c>
    </row>
    <row r="50" spans="1:2" x14ac:dyDescent="0.4">
      <c r="A50" t="s">
        <v>110</v>
      </c>
      <c r="B50">
        <v>0</v>
      </c>
    </row>
    <row r="51" spans="1:2" x14ac:dyDescent="0.4">
      <c r="A51" t="s">
        <v>80</v>
      </c>
      <c r="B51">
        <v>0</v>
      </c>
    </row>
    <row r="52" spans="1:2" x14ac:dyDescent="0.4">
      <c r="A52" t="s">
        <v>34</v>
      </c>
      <c r="B52">
        <v>0</v>
      </c>
    </row>
    <row r="53" spans="1:2" x14ac:dyDescent="0.4">
      <c r="A53" t="s">
        <v>15</v>
      </c>
      <c r="B53">
        <v>0</v>
      </c>
    </row>
    <row r="54" spans="1:2" x14ac:dyDescent="0.4">
      <c r="A54" t="s">
        <v>17</v>
      </c>
      <c r="B54">
        <v>0</v>
      </c>
    </row>
    <row r="55" spans="1:2" x14ac:dyDescent="0.4">
      <c r="A55" t="s">
        <v>118</v>
      </c>
      <c r="B55">
        <v>0</v>
      </c>
    </row>
    <row r="56" spans="1:2" x14ac:dyDescent="0.4">
      <c r="A56" t="s">
        <v>2</v>
      </c>
      <c r="B56">
        <v>0</v>
      </c>
    </row>
    <row r="57" spans="1:2" x14ac:dyDescent="0.4">
      <c r="A57" t="s">
        <v>58</v>
      </c>
      <c r="B57">
        <v>0</v>
      </c>
    </row>
    <row r="58" spans="1:2" x14ac:dyDescent="0.4">
      <c r="A58" t="s">
        <v>3</v>
      </c>
      <c r="B58">
        <v>0</v>
      </c>
    </row>
    <row r="59" spans="1:2" x14ac:dyDescent="0.4">
      <c r="A59" t="s">
        <v>45</v>
      </c>
      <c r="B59">
        <v>0</v>
      </c>
    </row>
    <row r="60" spans="1:2" x14ac:dyDescent="0.4">
      <c r="A60" t="s">
        <v>37</v>
      </c>
      <c r="B60">
        <v>0</v>
      </c>
    </row>
    <row r="61" spans="1:2" x14ac:dyDescent="0.4">
      <c r="A61" t="s">
        <v>33</v>
      </c>
      <c r="B61">
        <v>0</v>
      </c>
    </row>
    <row r="62" spans="1:2" x14ac:dyDescent="0.4">
      <c r="A62" t="s">
        <v>48</v>
      </c>
      <c r="B62">
        <v>0</v>
      </c>
    </row>
    <row r="63" spans="1:2" x14ac:dyDescent="0.4">
      <c r="A63" t="s">
        <v>1</v>
      </c>
      <c r="B63">
        <v>0</v>
      </c>
    </row>
    <row r="64" spans="1:2" x14ac:dyDescent="0.4">
      <c r="A64" t="s">
        <v>22</v>
      </c>
      <c r="B64">
        <v>0</v>
      </c>
    </row>
    <row r="65" spans="1:2" x14ac:dyDescent="0.4">
      <c r="A65" t="s">
        <v>36</v>
      </c>
      <c r="B65">
        <v>0</v>
      </c>
    </row>
    <row r="66" spans="1:2" x14ac:dyDescent="0.4">
      <c r="A66" t="s">
        <v>42</v>
      </c>
      <c r="B66">
        <v>0</v>
      </c>
    </row>
    <row r="67" spans="1:2" x14ac:dyDescent="0.4">
      <c r="A67" t="s">
        <v>83</v>
      </c>
      <c r="B67">
        <v>0</v>
      </c>
    </row>
    <row r="68" spans="1:2" x14ac:dyDescent="0.4">
      <c r="A68" t="s">
        <v>76</v>
      </c>
      <c r="B68">
        <v>0</v>
      </c>
    </row>
    <row r="69" spans="1:2" x14ac:dyDescent="0.4">
      <c r="A69" t="s">
        <v>19</v>
      </c>
      <c r="B69">
        <v>0</v>
      </c>
    </row>
    <row r="70" spans="1:2" x14ac:dyDescent="0.4">
      <c r="A70" t="s">
        <v>21</v>
      </c>
      <c r="B70">
        <v>0</v>
      </c>
    </row>
    <row r="71" spans="1:2" x14ac:dyDescent="0.4">
      <c r="A71" t="s">
        <v>53</v>
      </c>
      <c r="B71">
        <v>0</v>
      </c>
    </row>
    <row r="72" spans="1:2" x14ac:dyDescent="0.4">
      <c r="A72" t="s">
        <v>62</v>
      </c>
      <c r="B72">
        <v>0</v>
      </c>
    </row>
    <row r="73" spans="1:2" x14ac:dyDescent="0.4">
      <c r="A73" t="s">
        <v>87</v>
      </c>
      <c r="B73">
        <v>0</v>
      </c>
    </row>
    <row r="74" spans="1:2" x14ac:dyDescent="0.4">
      <c r="A74" t="s">
        <v>60</v>
      </c>
      <c r="B74">
        <v>0</v>
      </c>
    </row>
    <row r="75" spans="1:2" x14ac:dyDescent="0.4">
      <c r="A75" t="s">
        <v>67</v>
      </c>
      <c r="B75">
        <v>0</v>
      </c>
    </row>
    <row r="76" spans="1:2" x14ac:dyDescent="0.4">
      <c r="A76" t="s">
        <v>131</v>
      </c>
      <c r="B76">
        <v>0</v>
      </c>
    </row>
    <row r="77" spans="1:2" x14ac:dyDescent="0.4">
      <c r="A77" t="s">
        <v>132</v>
      </c>
      <c r="B77">
        <v>0</v>
      </c>
    </row>
    <row r="78" spans="1:2" x14ac:dyDescent="0.4">
      <c r="A78" t="s">
        <v>130</v>
      </c>
      <c r="B78">
        <v>0</v>
      </c>
    </row>
    <row r="79" spans="1:2" x14ac:dyDescent="0.4">
      <c r="A79" t="s">
        <v>133</v>
      </c>
      <c r="B79">
        <v>0</v>
      </c>
    </row>
    <row r="80" spans="1:2" x14ac:dyDescent="0.4">
      <c r="A80" t="s">
        <v>69</v>
      </c>
      <c r="B80">
        <v>0</v>
      </c>
    </row>
    <row r="81" spans="1:2" x14ac:dyDescent="0.4">
      <c r="A81" t="s">
        <v>66</v>
      </c>
      <c r="B81">
        <v>0</v>
      </c>
    </row>
    <row r="82" spans="1:2" x14ac:dyDescent="0.4">
      <c r="A82" t="s">
        <v>106</v>
      </c>
      <c r="B82">
        <v>0</v>
      </c>
    </row>
    <row r="83" spans="1:2" x14ac:dyDescent="0.4">
      <c r="A83" t="s">
        <v>107</v>
      </c>
      <c r="B83">
        <v>0</v>
      </c>
    </row>
    <row r="84" spans="1:2" x14ac:dyDescent="0.4">
      <c r="A84" t="s">
        <v>108</v>
      </c>
      <c r="B84">
        <v>0</v>
      </c>
    </row>
    <row r="85" spans="1:2" x14ac:dyDescent="0.4">
      <c r="B85">
        <v>0</v>
      </c>
    </row>
    <row r="86" spans="1:2" x14ac:dyDescent="0.4">
      <c r="B86">
        <v>0</v>
      </c>
    </row>
    <row r="87" spans="1:2" x14ac:dyDescent="0.4">
      <c r="B87">
        <v>0</v>
      </c>
    </row>
    <row r="88" spans="1:2" x14ac:dyDescent="0.4">
      <c r="B88">
        <v>0</v>
      </c>
    </row>
    <row r="89" spans="1:2" x14ac:dyDescent="0.4">
      <c r="B89">
        <v>0</v>
      </c>
    </row>
    <row r="90" spans="1:2" x14ac:dyDescent="0.4">
      <c r="B90">
        <v>0</v>
      </c>
    </row>
    <row r="91" spans="1:2" x14ac:dyDescent="0.4">
      <c r="B91">
        <v>0</v>
      </c>
    </row>
    <row r="92" spans="1:2" x14ac:dyDescent="0.4">
      <c r="B92">
        <v>0</v>
      </c>
    </row>
    <row r="93" spans="1:2" x14ac:dyDescent="0.4">
      <c r="B93">
        <v>0</v>
      </c>
    </row>
    <row r="94" spans="1:2" x14ac:dyDescent="0.4">
      <c r="B94">
        <v>0</v>
      </c>
    </row>
  </sheetData>
  <autoFilter ref="A1:B94" xr:uid="{00000000-0009-0000-0000-000001000000}">
    <sortState xmlns:xlrd2="http://schemas.microsoft.com/office/spreadsheetml/2017/richdata2" ref="A2:B94">
      <sortCondition descending="1" ref="B1:B94"/>
    </sortState>
  </autoFilter>
  <phoneticPr fontId="1"/>
  <pageMargins left="0.7" right="0.7" top="0.75" bottom="0.75" header="0.3" footer="0.3"/>
  <pageSetup paperSize="9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94"/>
  <sheetViews>
    <sheetView workbookViewId="0">
      <pane xSplit="2" ySplit="1" topLeftCell="C44" activePane="bottomRight" state="frozen"/>
      <selection pane="topRight" activeCell="D1" sqref="D1"/>
      <selection pane="bottomLeft" activeCell="A2" sqref="A2"/>
      <selection pane="bottomRight" activeCell="B1" sqref="B1:C1048576"/>
    </sheetView>
  </sheetViews>
  <sheetFormatPr defaultRowHeight="18.75" x14ac:dyDescent="0.4"/>
  <cols>
    <col min="2" max="2" width="11" bestFit="1" customWidth="1"/>
    <col min="3" max="3" width="11" customWidth="1"/>
    <col min="4" max="10" width="4.25" bestFit="1" customWidth="1"/>
    <col min="11" max="13" width="5.25" bestFit="1" customWidth="1"/>
    <col min="14" max="15" width="4.25" bestFit="1" customWidth="1"/>
    <col min="16" max="16" width="16.375" bestFit="1" customWidth="1"/>
  </cols>
  <sheetData>
    <row r="1" spans="1:18" x14ac:dyDescent="0.4">
      <c r="A1" t="s">
        <v>104</v>
      </c>
      <c r="B1" t="s">
        <v>0</v>
      </c>
      <c r="C1" t="s">
        <v>137</v>
      </c>
      <c r="D1" s="3" t="s">
        <v>92</v>
      </c>
      <c r="E1" s="3" t="s">
        <v>93</v>
      </c>
      <c r="F1" s="3" t="s">
        <v>94</v>
      </c>
      <c r="G1" s="3" t="s">
        <v>95</v>
      </c>
      <c r="H1" s="3" t="s">
        <v>96</v>
      </c>
      <c r="I1" s="3" t="s">
        <v>97</v>
      </c>
      <c r="J1" s="3" t="s">
        <v>98</v>
      </c>
      <c r="K1" s="3" t="s">
        <v>99</v>
      </c>
      <c r="L1" s="3" t="s">
        <v>100</v>
      </c>
      <c r="M1" s="3" t="s">
        <v>101</v>
      </c>
      <c r="N1" s="3" t="s">
        <v>102</v>
      </c>
      <c r="O1" s="3" t="s">
        <v>103</v>
      </c>
      <c r="P1" t="s">
        <v>105</v>
      </c>
    </row>
    <row r="2" spans="1:18" x14ac:dyDescent="0.4">
      <c r="A2" t="s">
        <v>27</v>
      </c>
      <c r="B2" t="s">
        <v>4</v>
      </c>
      <c r="C2">
        <f t="shared" ref="C2:C33" si="0">SUM(D2:O2)</f>
        <v>0</v>
      </c>
      <c r="R2" t="s">
        <v>254</v>
      </c>
    </row>
    <row r="3" spans="1:18" x14ac:dyDescent="0.4">
      <c r="A3" t="s">
        <v>27</v>
      </c>
      <c r="B3" t="s">
        <v>43</v>
      </c>
      <c r="C3">
        <f t="shared" si="0"/>
        <v>0</v>
      </c>
    </row>
    <row r="4" spans="1:18" x14ac:dyDescent="0.4">
      <c r="A4" t="s">
        <v>27</v>
      </c>
      <c r="B4" t="s">
        <v>7</v>
      </c>
      <c r="C4">
        <f t="shared" si="0"/>
        <v>0</v>
      </c>
    </row>
    <row r="5" spans="1:18" x14ac:dyDescent="0.4">
      <c r="A5" t="s">
        <v>81</v>
      </c>
      <c r="B5" t="s">
        <v>82</v>
      </c>
      <c r="C5">
        <f t="shared" si="0"/>
        <v>0</v>
      </c>
    </row>
    <row r="6" spans="1:18" x14ac:dyDescent="0.4">
      <c r="A6" t="s">
        <v>27</v>
      </c>
      <c r="B6" t="s">
        <v>6</v>
      </c>
      <c r="C6">
        <f t="shared" si="0"/>
        <v>0</v>
      </c>
    </row>
    <row r="7" spans="1:18" x14ac:dyDescent="0.4">
      <c r="A7" t="s">
        <v>27</v>
      </c>
      <c r="B7" t="s">
        <v>5</v>
      </c>
      <c r="C7">
        <f t="shared" si="0"/>
        <v>1</v>
      </c>
      <c r="E7">
        <v>1</v>
      </c>
    </row>
    <row r="8" spans="1:18" x14ac:dyDescent="0.4">
      <c r="A8" t="s">
        <v>27</v>
      </c>
      <c r="B8" t="s">
        <v>65</v>
      </c>
      <c r="C8">
        <f t="shared" si="0"/>
        <v>0</v>
      </c>
    </row>
    <row r="9" spans="1:18" x14ac:dyDescent="0.15">
      <c r="A9" t="s">
        <v>71</v>
      </c>
      <c r="B9" t="s">
        <v>251</v>
      </c>
      <c r="C9">
        <f t="shared" si="0"/>
        <v>0</v>
      </c>
      <c r="E9" s="4"/>
    </row>
    <row r="10" spans="1:18" x14ac:dyDescent="0.4">
      <c r="A10" t="s">
        <v>38</v>
      </c>
      <c r="B10" t="s">
        <v>39</v>
      </c>
      <c r="C10">
        <f t="shared" si="0"/>
        <v>1</v>
      </c>
      <c r="E10">
        <v>1</v>
      </c>
    </row>
    <row r="11" spans="1:18" x14ac:dyDescent="0.4">
      <c r="A11" t="s">
        <v>28</v>
      </c>
      <c r="B11" t="s">
        <v>46</v>
      </c>
      <c r="C11">
        <f t="shared" si="0"/>
        <v>0</v>
      </c>
    </row>
    <row r="12" spans="1:18" x14ac:dyDescent="0.4">
      <c r="A12" t="s">
        <v>28</v>
      </c>
      <c r="B12" t="s">
        <v>74</v>
      </c>
      <c r="C12">
        <f t="shared" si="0"/>
        <v>0</v>
      </c>
    </row>
    <row r="13" spans="1:18" x14ac:dyDescent="0.4">
      <c r="A13" t="s">
        <v>28</v>
      </c>
      <c r="B13" t="s">
        <v>40</v>
      </c>
      <c r="C13">
        <f t="shared" si="0"/>
        <v>0</v>
      </c>
    </row>
    <row r="14" spans="1:18" x14ac:dyDescent="0.4">
      <c r="A14" t="s">
        <v>28</v>
      </c>
      <c r="B14" t="s">
        <v>49</v>
      </c>
      <c r="C14">
        <f t="shared" si="0"/>
        <v>0</v>
      </c>
    </row>
    <row r="15" spans="1:18" x14ac:dyDescent="0.4">
      <c r="A15" t="s">
        <v>28</v>
      </c>
      <c r="B15" t="s">
        <v>9</v>
      </c>
      <c r="C15">
        <f t="shared" si="0"/>
        <v>0</v>
      </c>
    </row>
    <row r="16" spans="1:18" x14ac:dyDescent="0.4">
      <c r="A16" t="s">
        <v>90</v>
      </c>
      <c r="B16" t="s">
        <v>91</v>
      </c>
      <c r="C16">
        <f t="shared" si="0"/>
        <v>0</v>
      </c>
    </row>
    <row r="17" spans="1:3" x14ac:dyDescent="0.4">
      <c r="A17" t="s">
        <v>127</v>
      </c>
      <c r="B17" t="s">
        <v>134</v>
      </c>
      <c r="C17">
        <f t="shared" si="0"/>
        <v>0</v>
      </c>
    </row>
    <row r="18" spans="1:3" x14ac:dyDescent="0.4">
      <c r="A18" t="s">
        <v>63</v>
      </c>
      <c r="B18" t="s">
        <v>64</v>
      </c>
      <c r="C18">
        <f t="shared" si="0"/>
        <v>0</v>
      </c>
    </row>
    <row r="19" spans="1:3" x14ac:dyDescent="0.4">
      <c r="A19" t="s">
        <v>28</v>
      </c>
      <c r="B19" t="s">
        <v>10</v>
      </c>
      <c r="C19">
        <f t="shared" si="0"/>
        <v>0</v>
      </c>
    </row>
    <row r="20" spans="1:3" x14ac:dyDescent="0.4">
      <c r="A20" t="s">
        <v>54</v>
      </c>
      <c r="B20" t="s">
        <v>55</v>
      </c>
      <c r="C20">
        <f t="shared" si="0"/>
        <v>0</v>
      </c>
    </row>
    <row r="21" spans="1:3" x14ac:dyDescent="0.4">
      <c r="A21" t="s">
        <v>125</v>
      </c>
      <c r="B21" t="s">
        <v>250</v>
      </c>
      <c r="C21">
        <f t="shared" si="0"/>
        <v>0</v>
      </c>
    </row>
    <row r="22" spans="1:3" x14ac:dyDescent="0.4">
      <c r="A22" t="s">
        <v>28</v>
      </c>
      <c r="B22" t="s">
        <v>8</v>
      </c>
      <c r="C22">
        <f t="shared" si="0"/>
        <v>0</v>
      </c>
    </row>
    <row r="23" spans="1:3" x14ac:dyDescent="0.4">
      <c r="A23" t="s">
        <v>28</v>
      </c>
      <c r="B23" t="s">
        <v>135</v>
      </c>
      <c r="C23">
        <f t="shared" si="0"/>
        <v>0</v>
      </c>
    </row>
    <row r="24" spans="1:3" x14ac:dyDescent="0.4">
      <c r="A24" t="s">
        <v>50</v>
      </c>
      <c r="B24" t="s">
        <v>51</v>
      </c>
      <c r="C24">
        <f t="shared" si="0"/>
        <v>0</v>
      </c>
    </row>
    <row r="25" spans="1:3" x14ac:dyDescent="0.4">
      <c r="A25" t="s">
        <v>28</v>
      </c>
      <c r="B25" t="s">
        <v>56</v>
      </c>
      <c r="C25">
        <f t="shared" si="0"/>
        <v>0</v>
      </c>
    </row>
    <row r="26" spans="1:3" x14ac:dyDescent="0.4">
      <c r="A26" t="s">
        <v>78</v>
      </c>
      <c r="B26" t="s">
        <v>77</v>
      </c>
      <c r="C26">
        <f t="shared" si="0"/>
        <v>0</v>
      </c>
    </row>
    <row r="27" spans="1:3" x14ac:dyDescent="0.4">
      <c r="A27" t="s">
        <v>127</v>
      </c>
      <c r="B27" t="s">
        <v>115</v>
      </c>
      <c r="C27">
        <f t="shared" si="0"/>
        <v>0</v>
      </c>
    </row>
    <row r="28" spans="1:3" x14ac:dyDescent="0.4">
      <c r="A28" t="s">
        <v>125</v>
      </c>
      <c r="B28" t="s">
        <v>111</v>
      </c>
      <c r="C28">
        <f t="shared" si="0"/>
        <v>0</v>
      </c>
    </row>
    <row r="29" spans="1:3" x14ac:dyDescent="0.4">
      <c r="A29" t="s">
        <v>127</v>
      </c>
      <c r="B29" t="s">
        <v>113</v>
      </c>
      <c r="C29">
        <f t="shared" si="0"/>
        <v>0</v>
      </c>
    </row>
    <row r="30" spans="1:3" x14ac:dyDescent="0.4">
      <c r="A30" t="s">
        <v>125</v>
      </c>
      <c r="B30" t="s">
        <v>114</v>
      </c>
      <c r="C30">
        <f t="shared" si="0"/>
        <v>0</v>
      </c>
    </row>
    <row r="31" spans="1:3" x14ac:dyDescent="0.4">
      <c r="A31" t="s">
        <v>127</v>
      </c>
      <c r="B31" t="s">
        <v>116</v>
      </c>
      <c r="C31">
        <f t="shared" si="0"/>
        <v>0</v>
      </c>
    </row>
    <row r="32" spans="1:3" x14ac:dyDescent="0.4">
      <c r="A32" t="s">
        <v>125</v>
      </c>
      <c r="B32" t="s">
        <v>117</v>
      </c>
      <c r="C32">
        <f t="shared" si="0"/>
        <v>0</v>
      </c>
    </row>
    <row r="33" spans="1:4" x14ac:dyDescent="0.4">
      <c r="A33" t="s">
        <v>126</v>
      </c>
      <c r="B33" t="s">
        <v>136</v>
      </c>
      <c r="C33">
        <f t="shared" si="0"/>
        <v>0</v>
      </c>
    </row>
    <row r="34" spans="1:4" x14ac:dyDescent="0.4">
      <c r="A34" t="s">
        <v>30</v>
      </c>
      <c r="B34" t="s">
        <v>20</v>
      </c>
      <c r="C34">
        <f t="shared" ref="C34:C65" si="1">SUM(D34:O34)</f>
        <v>1</v>
      </c>
      <c r="D34">
        <v>1</v>
      </c>
    </row>
    <row r="35" spans="1:4" x14ac:dyDescent="0.4">
      <c r="A35" t="s">
        <v>30</v>
      </c>
      <c r="B35" t="s">
        <v>24</v>
      </c>
      <c r="C35">
        <f t="shared" si="1"/>
        <v>0</v>
      </c>
    </row>
    <row r="36" spans="1:4" x14ac:dyDescent="0.4">
      <c r="A36" t="s">
        <v>30</v>
      </c>
      <c r="B36" t="s">
        <v>18</v>
      </c>
      <c r="C36">
        <f t="shared" si="1"/>
        <v>0</v>
      </c>
    </row>
    <row r="37" spans="1:4" x14ac:dyDescent="0.4">
      <c r="A37" t="s">
        <v>30</v>
      </c>
      <c r="B37" t="s">
        <v>23</v>
      </c>
      <c r="C37">
        <f t="shared" si="1"/>
        <v>0</v>
      </c>
    </row>
    <row r="38" spans="1:4" x14ac:dyDescent="0.4">
      <c r="A38" t="s">
        <v>109</v>
      </c>
      <c r="B38" t="s">
        <v>123</v>
      </c>
      <c r="C38">
        <f t="shared" si="1"/>
        <v>0</v>
      </c>
    </row>
    <row r="39" spans="1:4" x14ac:dyDescent="0.4">
      <c r="A39" t="s">
        <v>30</v>
      </c>
      <c r="B39" t="s">
        <v>25</v>
      </c>
      <c r="C39">
        <f t="shared" si="1"/>
        <v>0</v>
      </c>
    </row>
    <row r="40" spans="1:4" x14ac:dyDescent="0.4">
      <c r="A40" t="s">
        <v>85</v>
      </c>
      <c r="B40" t="s">
        <v>84</v>
      </c>
      <c r="C40">
        <f t="shared" si="1"/>
        <v>0</v>
      </c>
    </row>
    <row r="41" spans="1:4" x14ac:dyDescent="0.4">
      <c r="A41" t="s">
        <v>30</v>
      </c>
      <c r="B41" t="s">
        <v>12</v>
      </c>
      <c r="C41">
        <f t="shared" si="1"/>
        <v>1</v>
      </c>
      <c r="D41">
        <v>1</v>
      </c>
    </row>
    <row r="42" spans="1:4" x14ac:dyDescent="0.4">
      <c r="A42" t="s">
        <v>88</v>
      </c>
      <c r="B42" t="s">
        <v>89</v>
      </c>
      <c r="C42">
        <f t="shared" si="1"/>
        <v>0</v>
      </c>
    </row>
    <row r="43" spans="1:4" x14ac:dyDescent="0.4">
      <c r="A43" t="s">
        <v>30</v>
      </c>
      <c r="B43" t="s">
        <v>13</v>
      </c>
      <c r="C43">
        <f t="shared" si="1"/>
        <v>0</v>
      </c>
    </row>
    <row r="44" spans="1:4" x14ac:dyDescent="0.4">
      <c r="A44" t="s">
        <v>30</v>
      </c>
      <c r="B44" t="s">
        <v>14</v>
      </c>
      <c r="C44">
        <f t="shared" si="1"/>
        <v>0</v>
      </c>
    </row>
    <row r="45" spans="1:4" x14ac:dyDescent="0.4">
      <c r="A45" t="s">
        <v>30</v>
      </c>
      <c r="B45" t="s">
        <v>11</v>
      </c>
      <c r="C45">
        <f t="shared" si="1"/>
        <v>0</v>
      </c>
    </row>
    <row r="46" spans="1:4" x14ac:dyDescent="0.4">
      <c r="A46" t="s">
        <v>124</v>
      </c>
      <c r="B46" t="s">
        <v>110</v>
      </c>
      <c r="C46">
        <f t="shared" si="1"/>
        <v>0</v>
      </c>
    </row>
    <row r="47" spans="1:4" x14ac:dyDescent="0.4">
      <c r="A47" t="s">
        <v>79</v>
      </c>
      <c r="B47" t="s">
        <v>80</v>
      </c>
      <c r="C47">
        <f t="shared" si="1"/>
        <v>0</v>
      </c>
    </row>
    <row r="48" spans="1:4" x14ac:dyDescent="0.4">
      <c r="A48" t="s">
        <v>29</v>
      </c>
      <c r="B48" t="s">
        <v>35</v>
      </c>
      <c r="C48">
        <f t="shared" si="1"/>
        <v>1</v>
      </c>
      <c r="D48">
        <v>1</v>
      </c>
    </row>
    <row r="49" spans="1:6" x14ac:dyDescent="0.4">
      <c r="A49" t="s">
        <v>29</v>
      </c>
      <c r="B49" t="s">
        <v>34</v>
      </c>
      <c r="C49">
        <f t="shared" si="1"/>
        <v>0</v>
      </c>
    </row>
    <row r="50" spans="1:6" x14ac:dyDescent="0.4">
      <c r="A50" t="s">
        <v>29</v>
      </c>
      <c r="B50" t="s">
        <v>15</v>
      </c>
      <c r="C50">
        <f t="shared" si="1"/>
        <v>0</v>
      </c>
    </row>
    <row r="51" spans="1:6" x14ac:dyDescent="0.4">
      <c r="A51" t="s">
        <v>29</v>
      </c>
      <c r="B51" t="s">
        <v>17</v>
      </c>
      <c r="C51">
        <f t="shared" si="1"/>
        <v>0</v>
      </c>
    </row>
    <row r="52" spans="1:6" x14ac:dyDescent="0.4">
      <c r="A52" t="s">
        <v>29</v>
      </c>
      <c r="B52" t="s">
        <v>16</v>
      </c>
      <c r="C52">
        <f t="shared" si="1"/>
        <v>1</v>
      </c>
      <c r="D52">
        <v>1</v>
      </c>
    </row>
    <row r="53" spans="1:6" x14ac:dyDescent="0.4">
      <c r="A53" t="s">
        <v>128</v>
      </c>
      <c r="B53" t="s">
        <v>118</v>
      </c>
      <c r="C53">
        <f t="shared" si="1"/>
        <v>0</v>
      </c>
    </row>
    <row r="54" spans="1:6" x14ac:dyDescent="0.4">
      <c r="A54" t="s">
        <v>26</v>
      </c>
      <c r="B54" t="s">
        <v>2</v>
      </c>
      <c r="C54">
        <f t="shared" si="1"/>
        <v>0</v>
      </c>
    </row>
    <row r="55" spans="1:6" x14ac:dyDescent="0.4">
      <c r="A55" t="s">
        <v>57</v>
      </c>
      <c r="B55" t="s">
        <v>58</v>
      </c>
      <c r="C55">
        <f t="shared" si="1"/>
        <v>0</v>
      </c>
    </row>
    <row r="56" spans="1:6" x14ac:dyDescent="0.4">
      <c r="A56" t="s">
        <v>26</v>
      </c>
      <c r="B56" t="s">
        <v>3</v>
      </c>
      <c r="C56">
        <f t="shared" si="1"/>
        <v>0</v>
      </c>
    </row>
    <row r="57" spans="1:6" x14ac:dyDescent="0.4">
      <c r="A57" t="s">
        <v>44</v>
      </c>
      <c r="B57" t="s">
        <v>45</v>
      </c>
      <c r="C57">
        <f t="shared" si="1"/>
        <v>0</v>
      </c>
    </row>
    <row r="58" spans="1:6" x14ac:dyDescent="0.4">
      <c r="A58" t="s">
        <v>26</v>
      </c>
      <c r="B58" t="s">
        <v>37</v>
      </c>
      <c r="C58">
        <f t="shared" si="1"/>
        <v>0</v>
      </c>
    </row>
    <row r="59" spans="1:6" x14ac:dyDescent="0.4">
      <c r="A59" t="s">
        <v>31</v>
      </c>
      <c r="B59" t="s">
        <v>33</v>
      </c>
      <c r="C59">
        <f t="shared" si="1"/>
        <v>0</v>
      </c>
    </row>
    <row r="60" spans="1:6" x14ac:dyDescent="0.4">
      <c r="A60" t="s">
        <v>47</v>
      </c>
      <c r="B60" t="s">
        <v>48</v>
      </c>
      <c r="C60">
        <f t="shared" si="1"/>
        <v>0</v>
      </c>
    </row>
    <row r="61" spans="1:6" x14ac:dyDescent="0.4">
      <c r="A61" t="s">
        <v>26</v>
      </c>
      <c r="B61" t="s">
        <v>1</v>
      </c>
      <c r="C61">
        <f t="shared" si="1"/>
        <v>0</v>
      </c>
    </row>
    <row r="62" spans="1:6" x14ac:dyDescent="0.4">
      <c r="A62" t="s">
        <v>31</v>
      </c>
      <c r="B62" t="s">
        <v>32</v>
      </c>
      <c r="C62">
        <f t="shared" si="1"/>
        <v>1</v>
      </c>
      <c r="F62">
        <v>1</v>
      </c>
    </row>
    <row r="63" spans="1:6" x14ac:dyDescent="0.4">
      <c r="A63" t="s">
        <v>26</v>
      </c>
      <c r="B63" t="s">
        <v>22</v>
      </c>
      <c r="C63">
        <f t="shared" si="1"/>
        <v>0</v>
      </c>
    </row>
    <row r="64" spans="1:6" x14ac:dyDescent="0.4">
      <c r="A64" t="s">
        <v>26</v>
      </c>
      <c r="B64" t="s">
        <v>36</v>
      </c>
      <c r="C64">
        <f t="shared" si="1"/>
        <v>0</v>
      </c>
    </row>
    <row r="65" spans="1:6" x14ac:dyDescent="0.4">
      <c r="A65" t="s">
        <v>72</v>
      </c>
      <c r="B65" t="s">
        <v>73</v>
      </c>
      <c r="C65">
        <f t="shared" si="1"/>
        <v>1</v>
      </c>
      <c r="D65">
        <v>1</v>
      </c>
    </row>
    <row r="66" spans="1:6" x14ac:dyDescent="0.4">
      <c r="A66" t="s">
        <v>41</v>
      </c>
      <c r="B66" t="s">
        <v>42</v>
      </c>
      <c r="C66">
        <f t="shared" ref="C66:C94" si="2">SUM(D66:O66)</f>
        <v>0</v>
      </c>
    </row>
    <row r="67" spans="1:6" x14ac:dyDescent="0.4">
      <c r="A67" t="s">
        <v>72</v>
      </c>
      <c r="B67" t="s">
        <v>83</v>
      </c>
      <c r="C67">
        <f t="shared" si="2"/>
        <v>0</v>
      </c>
    </row>
    <row r="68" spans="1:6" x14ac:dyDescent="0.4">
      <c r="A68" t="s">
        <v>75</v>
      </c>
      <c r="B68" t="s">
        <v>76</v>
      </c>
      <c r="C68">
        <f t="shared" si="2"/>
        <v>0</v>
      </c>
    </row>
    <row r="69" spans="1:6" x14ac:dyDescent="0.4">
      <c r="A69" t="s">
        <v>26</v>
      </c>
      <c r="B69" s="5" t="s">
        <v>19</v>
      </c>
      <c r="C69">
        <f t="shared" si="2"/>
        <v>0</v>
      </c>
    </row>
    <row r="70" spans="1:6" x14ac:dyDescent="0.4">
      <c r="A70" t="s">
        <v>26</v>
      </c>
      <c r="B70" s="5" t="s">
        <v>21</v>
      </c>
      <c r="C70">
        <f t="shared" si="2"/>
        <v>0</v>
      </c>
    </row>
    <row r="71" spans="1:6" x14ac:dyDescent="0.4">
      <c r="A71" t="s">
        <v>52</v>
      </c>
      <c r="B71" s="5" t="s">
        <v>53</v>
      </c>
      <c r="C71">
        <f t="shared" si="2"/>
        <v>0</v>
      </c>
    </row>
    <row r="72" spans="1:6" x14ac:dyDescent="0.4">
      <c r="A72" t="s">
        <v>61</v>
      </c>
      <c r="B72" s="5" t="s">
        <v>62</v>
      </c>
      <c r="C72">
        <f t="shared" si="2"/>
        <v>0</v>
      </c>
    </row>
    <row r="73" spans="1:6" x14ac:dyDescent="0.4">
      <c r="A73" t="s">
        <v>86</v>
      </c>
      <c r="B73" s="5" t="s">
        <v>87</v>
      </c>
      <c r="C73">
        <f t="shared" si="2"/>
        <v>0</v>
      </c>
    </row>
    <row r="74" spans="1:6" x14ac:dyDescent="0.4">
      <c r="A74" t="s">
        <v>59</v>
      </c>
      <c r="B74" s="5" t="s">
        <v>60</v>
      </c>
      <c r="C74">
        <f t="shared" si="2"/>
        <v>0</v>
      </c>
    </row>
    <row r="75" spans="1:6" x14ac:dyDescent="0.4">
      <c r="A75" t="s">
        <v>59</v>
      </c>
      <c r="B75" s="5" t="s">
        <v>67</v>
      </c>
      <c r="C75">
        <f t="shared" si="2"/>
        <v>0</v>
      </c>
    </row>
    <row r="76" spans="1:6" x14ac:dyDescent="0.4">
      <c r="A76" t="s">
        <v>129</v>
      </c>
      <c r="B76" s="5" t="s">
        <v>131</v>
      </c>
      <c r="C76">
        <f t="shared" si="2"/>
        <v>0</v>
      </c>
    </row>
    <row r="77" spans="1:6" x14ac:dyDescent="0.4">
      <c r="A77" t="s">
        <v>129</v>
      </c>
      <c r="B77" s="5" t="s">
        <v>132</v>
      </c>
      <c r="C77">
        <f t="shared" si="2"/>
        <v>0</v>
      </c>
    </row>
    <row r="78" spans="1:6" x14ac:dyDescent="0.4">
      <c r="A78" t="s">
        <v>129</v>
      </c>
      <c r="B78" s="5" t="s">
        <v>130</v>
      </c>
      <c r="C78">
        <f t="shared" si="2"/>
        <v>0</v>
      </c>
    </row>
    <row r="79" spans="1:6" x14ac:dyDescent="0.4">
      <c r="A79" t="s">
        <v>129</v>
      </c>
      <c r="B79" s="5" t="s">
        <v>133</v>
      </c>
      <c r="C79">
        <f t="shared" si="2"/>
        <v>0</v>
      </c>
    </row>
    <row r="80" spans="1:6" x14ac:dyDescent="0.15">
      <c r="A80" t="s">
        <v>68</v>
      </c>
      <c r="B80" s="5" t="s">
        <v>69</v>
      </c>
      <c r="C80">
        <f t="shared" si="2"/>
        <v>0</v>
      </c>
      <c r="E80" s="4"/>
      <c r="F80" s="4"/>
    </row>
    <row r="81" spans="1:6" x14ac:dyDescent="0.4">
      <c r="A81" t="s">
        <v>68</v>
      </c>
      <c r="B81" s="5" t="s">
        <v>66</v>
      </c>
      <c r="C81">
        <f t="shared" si="2"/>
        <v>0</v>
      </c>
    </row>
    <row r="82" spans="1:6" x14ac:dyDescent="0.15">
      <c r="A82" t="s">
        <v>68</v>
      </c>
      <c r="B82" s="5" t="s">
        <v>106</v>
      </c>
      <c r="C82">
        <f t="shared" si="2"/>
        <v>0</v>
      </c>
      <c r="E82" s="4"/>
      <c r="F82" s="4"/>
    </row>
    <row r="83" spans="1:6" x14ac:dyDescent="0.15">
      <c r="A83" t="s">
        <v>68</v>
      </c>
      <c r="B83" s="5" t="s">
        <v>107</v>
      </c>
      <c r="C83">
        <f t="shared" si="2"/>
        <v>0</v>
      </c>
      <c r="E83" s="4"/>
      <c r="F83" s="4"/>
    </row>
    <row r="84" spans="1:6" x14ac:dyDescent="0.15">
      <c r="A84" t="s">
        <v>68</v>
      </c>
      <c r="B84" s="5" t="s">
        <v>108</v>
      </c>
      <c r="C84">
        <f t="shared" si="2"/>
        <v>0</v>
      </c>
      <c r="E84" s="4"/>
      <c r="F84" s="4"/>
    </row>
    <row r="85" spans="1:6" x14ac:dyDescent="0.4">
      <c r="C85">
        <f t="shared" si="2"/>
        <v>0</v>
      </c>
    </row>
    <row r="86" spans="1:6" x14ac:dyDescent="0.4">
      <c r="C86">
        <f t="shared" si="2"/>
        <v>0</v>
      </c>
    </row>
    <row r="87" spans="1:6" x14ac:dyDescent="0.4">
      <c r="C87">
        <f t="shared" si="2"/>
        <v>0</v>
      </c>
    </row>
    <row r="88" spans="1:6" x14ac:dyDescent="0.4">
      <c r="C88">
        <f t="shared" si="2"/>
        <v>0</v>
      </c>
    </row>
    <row r="89" spans="1:6" x14ac:dyDescent="0.4">
      <c r="C89">
        <f t="shared" si="2"/>
        <v>0</v>
      </c>
    </row>
    <row r="90" spans="1:6" x14ac:dyDescent="0.4">
      <c r="C90">
        <f t="shared" si="2"/>
        <v>0</v>
      </c>
    </row>
    <row r="91" spans="1:6" x14ac:dyDescent="0.4">
      <c r="C91">
        <f t="shared" si="2"/>
        <v>0</v>
      </c>
    </row>
    <row r="92" spans="1:6" x14ac:dyDescent="0.4">
      <c r="C92">
        <f t="shared" si="2"/>
        <v>0</v>
      </c>
    </row>
    <row r="93" spans="1:6" x14ac:dyDescent="0.4">
      <c r="C93">
        <f t="shared" si="2"/>
        <v>0</v>
      </c>
    </row>
    <row r="94" spans="1:6" x14ac:dyDescent="0.4">
      <c r="C94">
        <f t="shared" si="2"/>
        <v>0</v>
      </c>
    </row>
  </sheetData>
  <autoFilter ref="A1:P68" xr:uid="{00000000-0009-0000-0000-000002000000}">
    <sortState xmlns:xlrd2="http://schemas.microsoft.com/office/spreadsheetml/2017/richdata2" ref="A2:P96">
      <sortCondition ref="A1:A70"/>
    </sortState>
  </autoFilter>
  <sortState xmlns:xlrd2="http://schemas.microsoft.com/office/spreadsheetml/2017/richdata2" ref="A2:F50">
    <sortCondition descending="1" ref="A2"/>
  </sortState>
  <phoneticPr fontId="1"/>
  <conditionalFormatting sqref="B1:B1048576">
    <cfRule type="duplicateValues" dxfId="0" priority="1"/>
  </conditionalFormatting>
  <pageMargins left="0.7" right="0.7" top="0.75" bottom="0.75" header="0.3" footer="0.3"/>
  <pageSetup paperSize="9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F58"/>
  <sheetViews>
    <sheetView workbookViewId="0">
      <selection activeCell="E9" sqref="E9"/>
    </sheetView>
  </sheetViews>
  <sheetFormatPr defaultRowHeight="18.75" x14ac:dyDescent="0.4"/>
  <cols>
    <col min="1" max="1" width="15.125" bestFit="1" customWidth="1"/>
    <col min="2" max="2" width="9" bestFit="1" customWidth="1"/>
    <col min="3" max="3" width="7.125" bestFit="1" customWidth="1"/>
    <col min="4" max="4" width="5.375" bestFit="1" customWidth="1"/>
    <col min="5" max="6" width="11" bestFit="1" customWidth="1"/>
  </cols>
  <sheetData>
    <row r="1" spans="1:6" x14ac:dyDescent="0.4">
      <c r="A1" s="5" t="s">
        <v>104</v>
      </c>
      <c r="B1" s="5" t="s">
        <v>119</v>
      </c>
      <c r="C1" s="5" t="s">
        <v>120</v>
      </c>
      <c r="D1" s="5" t="s">
        <v>121</v>
      </c>
      <c r="E1" s="5" t="s">
        <v>0</v>
      </c>
      <c r="F1" s="5" t="s">
        <v>122</v>
      </c>
    </row>
    <row r="2" spans="1:6" x14ac:dyDescent="0.15">
      <c r="A2" s="6" t="s">
        <v>145</v>
      </c>
      <c r="B2" s="6" t="s">
        <v>148</v>
      </c>
      <c r="C2" s="6" t="s">
        <v>149</v>
      </c>
      <c r="D2" s="6" t="s">
        <v>150</v>
      </c>
      <c r="E2" s="5" t="str">
        <f t="shared" ref="E2:E7" si="0">C2&amp;D2</f>
        <v>縄江修一</v>
      </c>
      <c r="F2" s="5">
        <f>VLOOKUP(E2,hiyari集計表!$B$2:$C$496,2,FALSE)</f>
        <v>0</v>
      </c>
    </row>
    <row r="3" spans="1:6" x14ac:dyDescent="0.15">
      <c r="A3" s="6" t="s">
        <v>160</v>
      </c>
      <c r="B3" s="6" t="s">
        <v>139</v>
      </c>
      <c r="C3" s="6" t="s">
        <v>144</v>
      </c>
      <c r="D3" s="6" t="s">
        <v>161</v>
      </c>
      <c r="E3" s="5" t="str">
        <f t="shared" si="0"/>
        <v>佐々木健二</v>
      </c>
      <c r="F3" s="5">
        <f>VLOOKUP(E3,hiyari集計表!$B$2:$C$496,2,FALSE)</f>
        <v>0</v>
      </c>
    </row>
    <row r="4" spans="1:6" x14ac:dyDescent="0.15">
      <c r="A4" s="6" t="s">
        <v>160</v>
      </c>
      <c r="B4" s="5" t="s">
        <v>148</v>
      </c>
      <c r="C4" s="5" t="s">
        <v>185</v>
      </c>
      <c r="D4" s="5" t="s">
        <v>186</v>
      </c>
      <c r="E4" s="5" t="str">
        <f t="shared" si="0"/>
        <v>友田勝久</v>
      </c>
      <c r="F4" s="5">
        <f>VLOOKUP(E4,hiyari集計表!$B$2:$C$496,2,FALSE)</f>
        <v>1</v>
      </c>
    </row>
    <row r="5" spans="1:6" x14ac:dyDescent="0.15">
      <c r="A5" s="6" t="s">
        <v>160</v>
      </c>
      <c r="B5" s="5"/>
      <c r="C5" s="5" t="s">
        <v>183</v>
      </c>
      <c r="D5" s="5" t="s">
        <v>189</v>
      </c>
      <c r="E5" s="5" t="str">
        <f t="shared" si="0"/>
        <v>久保田崇仁</v>
      </c>
      <c r="F5" s="5">
        <f>VLOOKUP(E5,hiyari集計表!$B$2:$C$496,2,FALSE)</f>
        <v>0</v>
      </c>
    </row>
    <row r="6" spans="1:6" x14ac:dyDescent="0.15">
      <c r="A6" s="6" t="s">
        <v>160</v>
      </c>
      <c r="B6" s="6"/>
      <c r="C6" s="6" t="s">
        <v>176</v>
      </c>
      <c r="D6" s="6" t="s">
        <v>177</v>
      </c>
      <c r="E6" s="5" t="str">
        <f t="shared" si="0"/>
        <v>山本智基</v>
      </c>
      <c r="F6" s="5">
        <f>VLOOKUP(E6,hiyari集計表!$B$2:$C$496,2,FALSE)</f>
        <v>0</v>
      </c>
    </row>
    <row r="7" spans="1:6" x14ac:dyDescent="0.4">
      <c r="A7" s="5" t="s">
        <v>190</v>
      </c>
      <c r="B7" s="5"/>
      <c r="C7" s="5" t="s">
        <v>209</v>
      </c>
      <c r="D7" s="5" t="s">
        <v>210</v>
      </c>
      <c r="E7" s="5" t="str">
        <f t="shared" si="0"/>
        <v>石川雄太</v>
      </c>
      <c r="F7" s="5">
        <f>VLOOKUP(E7,hiyari集計表!$B$2:$C$496,2,FALSE)</f>
        <v>0</v>
      </c>
    </row>
    <row r="8" spans="1:6" x14ac:dyDescent="0.15">
      <c r="A8" s="6" t="s">
        <v>145</v>
      </c>
      <c r="B8" s="6"/>
      <c r="C8" s="6" t="s">
        <v>157</v>
      </c>
      <c r="D8" s="6" t="s">
        <v>158</v>
      </c>
      <c r="E8" s="5" t="s">
        <v>251</v>
      </c>
      <c r="F8" s="5">
        <f>VLOOKUP(E8,hiyari集計表!$B$2:$C$496,2,FALSE)</f>
        <v>0</v>
      </c>
    </row>
    <row r="9" spans="1:6" x14ac:dyDescent="0.15">
      <c r="A9" s="6" t="s">
        <v>145</v>
      </c>
      <c r="B9" s="6"/>
      <c r="C9" s="6" t="s">
        <v>153</v>
      </c>
      <c r="D9" s="6" t="s">
        <v>154</v>
      </c>
      <c r="E9" s="5" t="str">
        <f t="shared" ref="E9:E40" si="1">C9&amp;D9</f>
        <v>池谷一志</v>
      </c>
      <c r="F9" s="5">
        <f>VLOOKUP(E9,hiyari集計表!$B$2:$C$496,2,FALSE)</f>
        <v>0</v>
      </c>
    </row>
    <row r="10" spans="1:6" x14ac:dyDescent="0.15">
      <c r="A10" s="6" t="s">
        <v>145</v>
      </c>
      <c r="B10" s="6"/>
      <c r="C10" s="6" t="s">
        <v>155</v>
      </c>
      <c r="D10" s="6" t="s">
        <v>156</v>
      </c>
      <c r="E10" s="5" t="str">
        <f t="shared" si="1"/>
        <v>川上司</v>
      </c>
      <c r="F10" s="5">
        <f>VLOOKUP(E10,hiyari集計表!$B$2:$C$496,2,FALSE)</f>
        <v>0</v>
      </c>
    </row>
    <row r="11" spans="1:6" x14ac:dyDescent="0.15">
      <c r="A11" s="6" t="s">
        <v>160</v>
      </c>
      <c r="B11" s="5" t="s">
        <v>164</v>
      </c>
      <c r="C11" s="6" t="s">
        <v>165</v>
      </c>
      <c r="D11" s="6" t="s">
        <v>166</v>
      </c>
      <c r="E11" s="5" t="str">
        <f t="shared" si="1"/>
        <v>宮本伸秋</v>
      </c>
      <c r="F11" s="5">
        <f>VLOOKUP(E11,hiyari集計表!$B$2:$C$496,2,FALSE)</f>
        <v>0</v>
      </c>
    </row>
    <row r="12" spans="1:6" x14ac:dyDescent="0.15">
      <c r="A12" s="6" t="s">
        <v>160</v>
      </c>
      <c r="B12" s="5" t="s">
        <v>148</v>
      </c>
      <c r="C12" s="6" t="s">
        <v>167</v>
      </c>
      <c r="D12" s="6" t="s">
        <v>168</v>
      </c>
      <c r="E12" s="5" t="str">
        <f t="shared" si="1"/>
        <v>中本直基</v>
      </c>
      <c r="F12" s="5">
        <f>VLOOKUP(E12,hiyari集計表!$B$2:$C$496,2,FALSE)</f>
        <v>0</v>
      </c>
    </row>
    <row r="13" spans="1:6" x14ac:dyDescent="0.15">
      <c r="A13" s="6" t="s">
        <v>160</v>
      </c>
      <c r="B13" s="6" t="s">
        <v>148</v>
      </c>
      <c r="C13" s="6" t="s">
        <v>169</v>
      </c>
      <c r="D13" s="6" t="s">
        <v>170</v>
      </c>
      <c r="E13" s="5" t="str">
        <f t="shared" si="1"/>
        <v>西谷健司</v>
      </c>
      <c r="F13" s="5">
        <f>VLOOKUP(E13,hiyari集計表!$B$2:$C$496,2,FALSE)</f>
        <v>0</v>
      </c>
    </row>
    <row r="14" spans="1:6" x14ac:dyDescent="0.15">
      <c r="A14" s="6" t="s">
        <v>160</v>
      </c>
      <c r="B14" s="6" t="s">
        <v>148</v>
      </c>
      <c r="C14" s="6" t="s">
        <v>173</v>
      </c>
      <c r="D14" s="6" t="s">
        <v>175</v>
      </c>
      <c r="E14" s="5" t="str">
        <f t="shared" si="1"/>
        <v>上田悠宇</v>
      </c>
      <c r="F14" s="5">
        <f>VLOOKUP(E14,hiyari集計表!$B$2:$C$496,2,FALSE)</f>
        <v>0</v>
      </c>
    </row>
    <row r="15" spans="1:6" x14ac:dyDescent="0.15">
      <c r="A15" s="6" t="s">
        <v>160</v>
      </c>
      <c r="B15" s="6"/>
      <c r="C15" s="6" t="s">
        <v>178</v>
      </c>
      <c r="D15" s="6" t="s">
        <v>179</v>
      </c>
      <c r="E15" s="5" t="str">
        <f t="shared" si="1"/>
        <v>寺本広大</v>
      </c>
      <c r="F15" s="5">
        <f>VLOOKUP(E15,hiyari集計表!$B$2:$C$496,2,FALSE)</f>
        <v>0</v>
      </c>
    </row>
    <row r="16" spans="1:6" x14ac:dyDescent="0.15">
      <c r="A16" s="6" t="s">
        <v>160</v>
      </c>
      <c r="B16" s="6"/>
      <c r="C16" s="7" t="s">
        <v>180</v>
      </c>
      <c r="D16" s="7" t="s">
        <v>181</v>
      </c>
      <c r="E16" s="5" t="str">
        <f t="shared" si="1"/>
        <v>野田秀哉</v>
      </c>
      <c r="F16" s="5">
        <f>VLOOKUP(E16,hiyari集計表!$B$2:$C$496,2,FALSE)</f>
        <v>0</v>
      </c>
    </row>
    <row r="17" spans="1:6" x14ac:dyDescent="0.4">
      <c r="A17" s="5" t="s">
        <v>190</v>
      </c>
      <c r="B17" s="5" t="s">
        <v>148</v>
      </c>
      <c r="C17" s="5" t="s">
        <v>193</v>
      </c>
      <c r="D17" s="5" t="s">
        <v>194</v>
      </c>
      <c r="E17" s="5" t="str">
        <f t="shared" si="1"/>
        <v>松尾博之</v>
      </c>
      <c r="F17" s="5">
        <f>VLOOKUP(E17,hiyari集計表!$B$2:$C$496,2,FALSE)</f>
        <v>0</v>
      </c>
    </row>
    <row r="18" spans="1:6" x14ac:dyDescent="0.4">
      <c r="A18" s="5" t="s">
        <v>190</v>
      </c>
      <c r="B18" s="5" t="s">
        <v>148</v>
      </c>
      <c r="C18" s="5" t="s">
        <v>195</v>
      </c>
      <c r="D18" s="5" t="s">
        <v>196</v>
      </c>
      <c r="E18" s="5" t="str">
        <f t="shared" si="1"/>
        <v>平一哲</v>
      </c>
      <c r="F18" s="5">
        <f>VLOOKUP(E18,hiyari集計表!$B$2:$C$496,2,FALSE)</f>
        <v>0</v>
      </c>
    </row>
    <row r="19" spans="1:6" x14ac:dyDescent="0.4">
      <c r="A19" s="5" t="s">
        <v>190</v>
      </c>
      <c r="B19" s="5" t="s">
        <v>148</v>
      </c>
      <c r="C19" s="5" t="s">
        <v>197</v>
      </c>
      <c r="D19" s="5" t="s">
        <v>198</v>
      </c>
      <c r="E19" s="5" t="str">
        <f t="shared" si="1"/>
        <v>飯塚敬三</v>
      </c>
      <c r="F19" s="5">
        <f>VLOOKUP(E19,hiyari集計表!$B$2:$C$496,2,FALSE)</f>
        <v>0</v>
      </c>
    </row>
    <row r="20" spans="1:6" x14ac:dyDescent="0.4">
      <c r="A20" s="5" t="s">
        <v>190</v>
      </c>
      <c r="B20" s="5"/>
      <c r="C20" s="5" t="s">
        <v>201</v>
      </c>
      <c r="D20" s="5" t="s">
        <v>202</v>
      </c>
      <c r="E20" s="5" t="str">
        <f t="shared" si="1"/>
        <v>清水正男</v>
      </c>
      <c r="F20" s="5">
        <f>VLOOKUP(E20,hiyari集計表!$B$2:$C$496,2,FALSE)</f>
        <v>0</v>
      </c>
    </row>
    <row r="21" spans="1:6" x14ac:dyDescent="0.4">
      <c r="A21" s="5" t="s">
        <v>190</v>
      </c>
      <c r="B21" s="5"/>
      <c r="C21" s="5" t="s">
        <v>203</v>
      </c>
      <c r="D21" s="5" t="s">
        <v>204</v>
      </c>
      <c r="E21" s="5" t="str">
        <f t="shared" si="1"/>
        <v>大崎真靖</v>
      </c>
      <c r="F21" s="5">
        <f>VLOOKUP(E21,hiyari集計表!$B$2:$C$496,2,FALSE)</f>
        <v>0</v>
      </c>
    </row>
    <row r="22" spans="1:6" x14ac:dyDescent="0.4">
      <c r="A22" s="5" t="s">
        <v>190</v>
      </c>
      <c r="B22" s="5"/>
      <c r="C22" s="5" t="s">
        <v>205</v>
      </c>
      <c r="D22" s="5" t="s">
        <v>206</v>
      </c>
      <c r="E22" s="5" t="str">
        <f t="shared" si="1"/>
        <v>浅津慧</v>
      </c>
      <c r="F22" s="5">
        <f>VLOOKUP(E22,hiyari集計表!$B$2:$C$496,2,FALSE)</f>
        <v>0</v>
      </c>
    </row>
    <row r="23" spans="1:6" x14ac:dyDescent="0.4">
      <c r="A23" s="5" t="s">
        <v>190</v>
      </c>
      <c r="B23" s="5"/>
      <c r="C23" s="5" t="s">
        <v>207</v>
      </c>
      <c r="D23" s="5" t="s">
        <v>208</v>
      </c>
      <c r="E23" s="5" t="str">
        <f t="shared" si="1"/>
        <v>今岡和則</v>
      </c>
      <c r="F23" s="5">
        <f>VLOOKUP(E23,hiyari集計表!$B$2:$C$496,2,FALSE)</f>
        <v>0</v>
      </c>
    </row>
    <row r="24" spans="1:6" x14ac:dyDescent="0.4">
      <c r="A24" s="5" t="s">
        <v>190</v>
      </c>
      <c r="B24" s="5"/>
      <c r="C24" s="5" t="s">
        <v>249</v>
      </c>
      <c r="D24" s="5" t="s">
        <v>211</v>
      </c>
      <c r="E24" s="5" t="str">
        <f t="shared" si="1"/>
        <v>森山凌太</v>
      </c>
      <c r="F24" s="5">
        <f>VLOOKUP(E24,hiyari集計表!$B$2:$C$496,2,FALSE)</f>
        <v>0</v>
      </c>
    </row>
    <row r="25" spans="1:6" x14ac:dyDescent="0.4">
      <c r="A25" s="5" t="s">
        <v>190</v>
      </c>
      <c r="B25" s="5"/>
      <c r="C25" s="5" t="s">
        <v>138</v>
      </c>
      <c r="D25" s="5" t="s">
        <v>216</v>
      </c>
      <c r="E25" s="5" t="str">
        <f t="shared" si="1"/>
        <v>吉田淳子</v>
      </c>
      <c r="F25" s="5">
        <f>VLOOKUP(E25,hiyari集計表!$B$2:$C$496,2,FALSE)</f>
        <v>0</v>
      </c>
    </row>
    <row r="26" spans="1:6" x14ac:dyDescent="0.4">
      <c r="A26" s="5" t="s">
        <v>190</v>
      </c>
      <c r="B26" s="5"/>
      <c r="C26" s="5" t="s">
        <v>217</v>
      </c>
      <c r="D26" s="5" t="s">
        <v>218</v>
      </c>
      <c r="E26" s="5" t="str">
        <f t="shared" si="1"/>
        <v>桐原幹子</v>
      </c>
      <c r="F26" s="5">
        <f>VLOOKUP(E26,hiyari集計表!$B$2:$C$496,2,FALSE)</f>
        <v>0</v>
      </c>
    </row>
    <row r="27" spans="1:6" x14ac:dyDescent="0.4">
      <c r="A27" s="5" t="s">
        <v>190</v>
      </c>
      <c r="B27" s="5"/>
      <c r="C27" s="5" t="s">
        <v>219</v>
      </c>
      <c r="D27" s="5" t="s">
        <v>220</v>
      </c>
      <c r="E27" s="5" t="str">
        <f t="shared" si="1"/>
        <v>竹下三和</v>
      </c>
      <c r="F27" s="5">
        <f>VLOOKUP(E27,hiyari集計表!$B$2:$C$496,2,FALSE)</f>
        <v>0</v>
      </c>
    </row>
    <row r="28" spans="1:6" x14ac:dyDescent="0.4">
      <c r="A28" s="5" t="s">
        <v>190</v>
      </c>
      <c r="B28" s="5"/>
      <c r="C28" s="5" t="s">
        <v>142</v>
      </c>
      <c r="D28" s="5" t="s">
        <v>221</v>
      </c>
      <c r="E28" s="5" t="str">
        <f t="shared" si="1"/>
        <v>藤原綾菜</v>
      </c>
      <c r="F28" s="5">
        <f>VLOOKUP(E28,hiyari集計表!$B$2:$C$496,2,FALSE)</f>
        <v>0</v>
      </c>
    </row>
    <row r="29" spans="1:6" x14ac:dyDescent="0.4">
      <c r="A29" s="5" t="s">
        <v>190</v>
      </c>
      <c r="B29" s="5"/>
      <c r="C29" s="5" t="s">
        <v>222</v>
      </c>
      <c r="D29" s="5" t="s">
        <v>224</v>
      </c>
      <c r="E29" s="5" t="str">
        <f t="shared" si="1"/>
        <v>重見勝彦</v>
      </c>
      <c r="F29" s="5">
        <f>VLOOKUP(E29,hiyari集計表!$B$2:$C$496,2,FALSE)</f>
        <v>0</v>
      </c>
    </row>
    <row r="30" spans="1:6" x14ac:dyDescent="0.4">
      <c r="A30" s="5" t="s">
        <v>190</v>
      </c>
      <c r="B30" s="5"/>
      <c r="C30" s="5" t="s">
        <v>225</v>
      </c>
      <c r="D30" s="5" t="s">
        <v>226</v>
      </c>
      <c r="E30" s="5" t="str">
        <f t="shared" si="1"/>
        <v>竹中純司</v>
      </c>
      <c r="F30" s="5">
        <f>VLOOKUP(E30,hiyari集計表!$B$2:$C$496,2,FALSE)</f>
        <v>0</v>
      </c>
    </row>
    <row r="31" spans="1:6" x14ac:dyDescent="0.4">
      <c r="A31" s="5" t="s">
        <v>190</v>
      </c>
      <c r="B31" s="5"/>
      <c r="C31" s="5" t="s">
        <v>227</v>
      </c>
      <c r="D31" s="5" t="s">
        <v>228</v>
      </c>
      <c r="E31" s="5" t="str">
        <f t="shared" si="1"/>
        <v>松下優希</v>
      </c>
      <c r="F31" s="5">
        <f>VLOOKUP(E31,hiyari集計表!$B$2:$C$496,2,FALSE)</f>
        <v>0</v>
      </c>
    </row>
    <row r="32" spans="1:6" x14ac:dyDescent="0.4">
      <c r="A32" s="5" t="s">
        <v>229</v>
      </c>
      <c r="B32" s="5" t="s">
        <v>182</v>
      </c>
      <c r="C32" s="5" t="s">
        <v>230</v>
      </c>
      <c r="D32" s="5" t="s">
        <v>231</v>
      </c>
      <c r="E32" s="5" t="str">
        <f t="shared" si="1"/>
        <v>幸地秀隆</v>
      </c>
      <c r="F32" s="5">
        <f>VLOOKUP(E32,hiyari集計表!$B$2:$C$496,2,FALSE)</f>
        <v>0</v>
      </c>
    </row>
    <row r="33" spans="1:6" x14ac:dyDescent="0.4">
      <c r="A33" s="5" t="s">
        <v>229</v>
      </c>
      <c r="B33" s="5" t="s">
        <v>148</v>
      </c>
      <c r="C33" s="5" t="s">
        <v>143</v>
      </c>
      <c r="D33" s="5" t="s">
        <v>232</v>
      </c>
      <c r="E33" s="5" t="str">
        <f t="shared" si="1"/>
        <v>内田幸一</v>
      </c>
      <c r="F33" s="5">
        <f>VLOOKUP(E33,hiyari集計表!$B$2:$C$496,2,FALSE)</f>
        <v>0</v>
      </c>
    </row>
    <row r="34" spans="1:6" x14ac:dyDescent="0.4">
      <c r="A34" s="5" t="s">
        <v>229</v>
      </c>
      <c r="B34" s="5" t="s">
        <v>148</v>
      </c>
      <c r="C34" s="5" t="s">
        <v>233</v>
      </c>
      <c r="D34" s="5" t="s">
        <v>234</v>
      </c>
      <c r="E34" s="5" t="str">
        <f t="shared" si="1"/>
        <v>溝邉俊希</v>
      </c>
      <c r="F34" s="5">
        <f>VLOOKUP(E34,hiyari集計表!$B$2:$C$496,2,FALSE)</f>
        <v>0</v>
      </c>
    </row>
    <row r="35" spans="1:6" x14ac:dyDescent="0.4">
      <c r="A35" s="5" t="s">
        <v>229</v>
      </c>
      <c r="B35" s="5" t="s">
        <v>148</v>
      </c>
      <c r="C35" s="5" t="s">
        <v>183</v>
      </c>
      <c r="D35" s="5" t="s">
        <v>235</v>
      </c>
      <c r="E35" s="5" t="str">
        <f t="shared" si="1"/>
        <v>久保田恭平</v>
      </c>
      <c r="F35" s="5">
        <f>VLOOKUP(E35,hiyari集計表!$B$2:$C$496,2,FALSE)</f>
        <v>0</v>
      </c>
    </row>
    <row r="36" spans="1:6" x14ac:dyDescent="0.4">
      <c r="A36" s="5" t="s">
        <v>229</v>
      </c>
      <c r="B36" s="5"/>
      <c r="C36" s="5" t="s">
        <v>236</v>
      </c>
      <c r="D36" s="5" t="s">
        <v>237</v>
      </c>
      <c r="E36" s="5" t="str">
        <f t="shared" si="1"/>
        <v>漆谷俊治</v>
      </c>
      <c r="F36" s="5">
        <f>VLOOKUP(E36,hiyari集計表!$B$2:$C$496,2,FALSE)</f>
        <v>0</v>
      </c>
    </row>
    <row r="37" spans="1:6" x14ac:dyDescent="0.4">
      <c r="A37" s="5" t="s">
        <v>229</v>
      </c>
      <c r="B37" s="5"/>
      <c r="C37" s="5" t="s">
        <v>159</v>
      </c>
      <c r="D37" s="5" t="s">
        <v>238</v>
      </c>
      <c r="E37" s="5" t="str">
        <f t="shared" si="1"/>
        <v>山藤進一</v>
      </c>
      <c r="F37" s="5">
        <f>VLOOKUP(E37,hiyari集計表!$B$2:$C$496,2,FALSE)</f>
        <v>0</v>
      </c>
    </row>
    <row r="38" spans="1:6" x14ac:dyDescent="0.4">
      <c r="A38" s="5" t="s">
        <v>229</v>
      </c>
      <c r="B38" s="5"/>
      <c r="C38" s="5" t="s">
        <v>239</v>
      </c>
      <c r="D38" s="5" t="s">
        <v>240</v>
      </c>
      <c r="E38" s="5" t="str">
        <f t="shared" si="1"/>
        <v>松前裕之</v>
      </c>
      <c r="F38" s="5">
        <f>VLOOKUP(E38,hiyari集計表!$B$2:$C$496,2,FALSE)</f>
        <v>0</v>
      </c>
    </row>
    <row r="39" spans="1:6" x14ac:dyDescent="0.4">
      <c r="A39" s="5" t="s">
        <v>229</v>
      </c>
      <c r="B39" s="5"/>
      <c r="C39" s="5" t="s">
        <v>241</v>
      </c>
      <c r="D39" s="5" t="s">
        <v>242</v>
      </c>
      <c r="E39" s="5" t="str">
        <f t="shared" si="1"/>
        <v>小林達矢</v>
      </c>
      <c r="F39" s="5">
        <f>VLOOKUP(E39,hiyari集計表!$B$2:$C$496,2,FALSE)</f>
        <v>0</v>
      </c>
    </row>
    <row r="40" spans="1:6" x14ac:dyDescent="0.4">
      <c r="A40" s="5" t="s">
        <v>229</v>
      </c>
      <c r="B40" s="5"/>
      <c r="C40" s="5" t="s">
        <v>140</v>
      </c>
      <c r="D40" s="5" t="s">
        <v>243</v>
      </c>
      <c r="E40" s="5" t="str">
        <f t="shared" si="1"/>
        <v>川口裕矢</v>
      </c>
      <c r="F40" s="5">
        <f>VLOOKUP(E40,hiyari集計表!$B$2:$C$496,2,FALSE)</f>
        <v>0</v>
      </c>
    </row>
    <row r="41" spans="1:6" x14ac:dyDescent="0.4">
      <c r="A41" s="5" t="s">
        <v>229</v>
      </c>
      <c r="B41" s="5"/>
      <c r="C41" s="5" t="s">
        <v>244</v>
      </c>
      <c r="D41" s="5" t="s">
        <v>245</v>
      </c>
      <c r="E41" s="5" t="str">
        <f t="shared" ref="E41:E58" si="2">C41&amp;D41</f>
        <v>山根直希</v>
      </c>
      <c r="F41" s="5">
        <f>VLOOKUP(E41,hiyari集計表!$B$2:$C$496,2,FALSE)</f>
        <v>0</v>
      </c>
    </row>
    <row r="42" spans="1:6" x14ac:dyDescent="0.4">
      <c r="A42" s="5" t="s">
        <v>229</v>
      </c>
      <c r="B42" s="5"/>
      <c r="C42" s="5" t="s">
        <v>241</v>
      </c>
      <c r="D42" s="5" t="s">
        <v>246</v>
      </c>
      <c r="E42" s="5" t="str">
        <f t="shared" si="2"/>
        <v>小林純平</v>
      </c>
      <c r="F42" s="5">
        <f>VLOOKUP(E42,hiyari集計表!$B$2:$C$496,2,FALSE)</f>
        <v>1</v>
      </c>
    </row>
    <row r="43" spans="1:6" x14ac:dyDescent="0.4">
      <c r="A43" s="5" t="s">
        <v>229</v>
      </c>
      <c r="B43" s="5"/>
      <c r="C43" s="5" t="s">
        <v>247</v>
      </c>
      <c r="D43" s="5" t="s">
        <v>248</v>
      </c>
      <c r="E43" s="5" t="str">
        <f t="shared" si="2"/>
        <v>富安零音</v>
      </c>
      <c r="F43" s="5">
        <f>VLOOKUP(E43,hiyari集計表!$B$2:$C$496,2,FALSE)</f>
        <v>1</v>
      </c>
    </row>
    <row r="44" spans="1:6" x14ac:dyDescent="0.15">
      <c r="A44" s="6" t="s">
        <v>160</v>
      </c>
      <c r="B44" s="6" t="s">
        <v>148</v>
      </c>
      <c r="C44" s="6" t="s">
        <v>173</v>
      </c>
      <c r="D44" s="6" t="s">
        <v>174</v>
      </c>
      <c r="E44" s="5" t="str">
        <f t="shared" si="2"/>
        <v>上田拓郎</v>
      </c>
      <c r="F44" s="5">
        <f>VLOOKUP(E44,hiyari集計表!$B$2:$C$496,2,FALSE)</f>
        <v>1</v>
      </c>
    </row>
    <row r="45" spans="1:6" x14ac:dyDescent="0.15">
      <c r="A45" s="6" t="s">
        <v>160</v>
      </c>
      <c r="B45" s="6" t="s">
        <v>146</v>
      </c>
      <c r="C45" s="6" t="s">
        <v>162</v>
      </c>
      <c r="D45" s="6" t="s">
        <v>163</v>
      </c>
      <c r="E45" s="5" t="str">
        <f t="shared" si="2"/>
        <v>坂根洋介</v>
      </c>
      <c r="F45" s="5">
        <f>VLOOKUP(E45,hiyari集計表!$B$2:$C$496,2,FALSE)</f>
        <v>0</v>
      </c>
    </row>
    <row r="46" spans="1:6" x14ac:dyDescent="0.15">
      <c r="A46" s="6" t="s">
        <v>160</v>
      </c>
      <c r="B46" s="6" t="s">
        <v>148</v>
      </c>
      <c r="C46" s="6" t="s">
        <v>171</v>
      </c>
      <c r="D46" s="6" t="s">
        <v>172</v>
      </c>
      <c r="E46" s="5" t="str">
        <f t="shared" si="2"/>
        <v>富永知弘</v>
      </c>
      <c r="F46" s="5">
        <f>VLOOKUP(E46,hiyari集計表!$B$2:$C$496,2,FALSE)</f>
        <v>1</v>
      </c>
    </row>
    <row r="47" spans="1:6" x14ac:dyDescent="0.15">
      <c r="A47" s="6" t="s">
        <v>160</v>
      </c>
      <c r="B47" s="5" t="s">
        <v>182</v>
      </c>
      <c r="C47" s="5" t="s">
        <v>183</v>
      </c>
      <c r="D47" s="5" t="s">
        <v>184</v>
      </c>
      <c r="E47" s="5" t="str">
        <f t="shared" si="2"/>
        <v>久保田拓也</v>
      </c>
      <c r="F47" s="5">
        <f>VLOOKUP(E47,hiyari集計表!$B$2:$C$496,2,FALSE)</f>
        <v>0</v>
      </c>
    </row>
    <row r="48" spans="1:6" x14ac:dyDescent="0.15">
      <c r="A48" s="6" t="s">
        <v>160</v>
      </c>
      <c r="B48" s="5" t="s">
        <v>148</v>
      </c>
      <c r="C48" s="5" t="s">
        <v>187</v>
      </c>
      <c r="D48" s="5" t="s">
        <v>188</v>
      </c>
      <c r="E48" s="5" t="str">
        <f t="shared" si="2"/>
        <v>上村龍則</v>
      </c>
      <c r="F48" s="5">
        <f>VLOOKUP(E48,hiyari集計表!$B$2:$C$496,2,FALSE)</f>
        <v>1</v>
      </c>
    </row>
    <row r="49" spans="1:6" x14ac:dyDescent="0.4">
      <c r="A49" s="5" t="s">
        <v>190</v>
      </c>
      <c r="B49" s="5"/>
      <c r="C49" s="5" t="s">
        <v>199</v>
      </c>
      <c r="D49" s="5" t="s">
        <v>200</v>
      </c>
      <c r="E49" s="5" t="str">
        <f t="shared" si="2"/>
        <v>長島成幸</v>
      </c>
      <c r="F49" s="5">
        <f>VLOOKUP(E49,hiyari集計表!$B$2:$C$496,2,FALSE)</f>
        <v>0</v>
      </c>
    </row>
    <row r="50" spans="1:6" x14ac:dyDescent="0.4">
      <c r="A50" s="5" t="s">
        <v>190</v>
      </c>
      <c r="B50" s="5"/>
      <c r="C50" s="5" t="s">
        <v>214</v>
      </c>
      <c r="D50" s="5" t="s">
        <v>215</v>
      </c>
      <c r="E50" s="5" t="str">
        <f t="shared" si="2"/>
        <v>田中隆侍</v>
      </c>
      <c r="F50" s="5">
        <f>VLOOKUP(E50,hiyari集計表!$B$2:$C$496,2,FALSE)</f>
        <v>0</v>
      </c>
    </row>
    <row r="51" spans="1:6" x14ac:dyDescent="0.15">
      <c r="A51" s="6" t="s">
        <v>145</v>
      </c>
      <c r="B51" s="6" t="s">
        <v>146</v>
      </c>
      <c r="C51" s="7" t="s">
        <v>147</v>
      </c>
      <c r="D51" s="7" t="s">
        <v>141</v>
      </c>
      <c r="E51" s="5" t="str">
        <f t="shared" si="2"/>
        <v>児玉直樹</v>
      </c>
      <c r="F51" s="5">
        <f>VLOOKUP(E51,hiyari集計表!$B$2:$C$496,2,FALSE)</f>
        <v>0</v>
      </c>
    </row>
    <row r="52" spans="1:6" x14ac:dyDescent="0.15">
      <c r="A52" s="6" t="s">
        <v>145</v>
      </c>
      <c r="B52" s="6" t="s">
        <v>148</v>
      </c>
      <c r="C52" s="6" t="s">
        <v>151</v>
      </c>
      <c r="D52" s="6" t="s">
        <v>152</v>
      </c>
      <c r="E52" s="5" t="str">
        <f t="shared" si="2"/>
        <v>和田香織</v>
      </c>
      <c r="F52" s="5">
        <f>VLOOKUP(E52,hiyari集計表!$B$2:$C$496,2,FALSE)</f>
        <v>1</v>
      </c>
    </row>
    <row r="53" spans="1:6" x14ac:dyDescent="0.4">
      <c r="A53" s="5" t="s">
        <v>190</v>
      </c>
      <c r="B53" s="5" t="s">
        <v>182</v>
      </c>
      <c r="C53" s="5" t="s">
        <v>191</v>
      </c>
      <c r="D53" s="5" t="s">
        <v>192</v>
      </c>
      <c r="E53" s="5" t="str">
        <f t="shared" si="2"/>
        <v>大野大介</v>
      </c>
      <c r="F53" s="5">
        <f>VLOOKUP(E53,hiyari集計表!$B$2:$C$496,2,FALSE)</f>
        <v>0</v>
      </c>
    </row>
    <row r="54" spans="1:6" x14ac:dyDescent="0.4">
      <c r="A54" s="5" t="s">
        <v>190</v>
      </c>
      <c r="B54" s="5"/>
      <c r="C54" s="5" t="s">
        <v>222</v>
      </c>
      <c r="D54" s="5" t="s">
        <v>223</v>
      </c>
      <c r="E54" s="5" t="str">
        <f t="shared" si="2"/>
        <v>重見恵子</v>
      </c>
      <c r="F54" s="5">
        <f>VLOOKUP(E54,hiyari集計表!$B$2:$C$496,2,FALSE)</f>
        <v>0</v>
      </c>
    </row>
    <row r="55" spans="1:6" x14ac:dyDescent="0.4">
      <c r="A55" s="5" t="s">
        <v>190</v>
      </c>
      <c r="B55" s="5"/>
      <c r="C55" s="5" t="s">
        <v>212</v>
      </c>
      <c r="D55" s="5" t="s">
        <v>213</v>
      </c>
      <c r="E55" s="5" t="str">
        <f t="shared" si="2"/>
        <v>粟谷明</v>
      </c>
      <c r="F55" s="5">
        <f>VLOOKUP(E55,hiyari集計表!$B$2:$C$496,2,FALSE)</f>
        <v>1</v>
      </c>
    </row>
    <row r="56" spans="1:6" x14ac:dyDescent="0.4">
      <c r="E56" s="8" t="str">
        <f t="shared" si="2"/>
        <v/>
      </c>
    </row>
    <row r="57" spans="1:6" x14ac:dyDescent="0.4">
      <c r="E57" s="5" t="str">
        <f t="shared" si="2"/>
        <v/>
      </c>
    </row>
    <row r="58" spans="1:6" x14ac:dyDescent="0.4">
      <c r="E58" s="5" t="str">
        <f t="shared" si="2"/>
        <v/>
      </c>
    </row>
  </sheetData>
  <autoFilter ref="A1:F15" xr:uid="{00000000-0009-0000-0000-000003000000}">
    <sortState xmlns:xlrd2="http://schemas.microsoft.com/office/spreadsheetml/2017/richdata2" ref="A2:F58">
      <sortCondition ref="F1:F15"/>
    </sortState>
  </autoFilter>
  <phoneticPr fontId="1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B3"/>
  <sheetViews>
    <sheetView showGridLines="0" zoomScaleNormal="100" workbookViewId="0">
      <selection activeCell="C20" sqref="C20"/>
    </sheetView>
  </sheetViews>
  <sheetFormatPr defaultRowHeight="18.75" x14ac:dyDescent="0.4"/>
  <cols>
    <col min="1" max="1" width="48.625" bestFit="1" customWidth="1"/>
    <col min="2" max="2" width="77.375" customWidth="1"/>
  </cols>
  <sheetData>
    <row r="1" spans="1:2" ht="57" x14ac:dyDescent="1.25">
      <c r="A1" s="1" t="s">
        <v>252</v>
      </c>
      <c r="B1" s="1" t="s">
        <v>253</v>
      </c>
    </row>
    <row r="2" spans="1:2" ht="9" customHeight="1" x14ac:dyDescent="0.4">
      <c r="A2" s="2"/>
    </row>
    <row r="3" spans="1:2" ht="10.5" customHeight="1" x14ac:dyDescent="0.4"/>
  </sheetData>
  <phoneticPr fontId="1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hiyariグラフ</vt:lpstr>
      <vt:lpstr>hiyari集計表並べ替え</vt:lpstr>
      <vt:lpstr>hiyari集計表</vt:lpstr>
      <vt:lpstr>組織図</vt:lpstr>
      <vt:lpstr>目標用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kounobe.j</dc:creator>
  <cp:lastModifiedBy>丸山 杏里</cp:lastModifiedBy>
  <cp:lastPrinted>2024-05-23T04:51:49Z</cp:lastPrinted>
  <dcterms:created xsi:type="dcterms:W3CDTF">2018-09-26T04:23:29Z</dcterms:created>
  <dcterms:modified xsi:type="dcterms:W3CDTF">2024-05-23T04:51:57Z</dcterms:modified>
</cp:coreProperties>
</file>