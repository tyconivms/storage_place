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3AFF0DEF-B8BF-46DD-BFC8-6C9AE26D5DB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<sst xmlns="http://schemas.openxmlformats.org/spreadsheetml/2006/main" count="459" uniqueCount="253">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</sst>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2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hiyari集計表並べ替え!$A$2:$A$58</c:f>
              <c:strCache>
                <c:ptCount val="57"/>
                <c:pt idx="0">
                  <c:v>渡辺哲平</c:v>
                </c:pt>
                <c:pt idx="1">
                  <c:v>粟谷明</c:v>
                </c:pt>
                <c:pt idx="2">
                  <c:v>児玉直樹</c:v>
                </c:pt>
                <c:pt idx="3">
                  <c:v>和田香織</c:v>
                </c:pt>
                <c:pt idx="4">
                  <c:v>大野大介</c:v>
                </c:pt>
                <c:pt idx="5">
                  <c:v>重見恵子</c:v>
                </c:pt>
                <c:pt idx="6">
                  <c:v>田中隆侍</c:v>
                </c:pt>
                <c:pt idx="7">
                  <c:v>長島成幸</c:v>
                </c:pt>
                <c:pt idx="8">
                  <c:v>上田拓郎</c:v>
                </c:pt>
                <c:pt idx="9">
                  <c:v>坂根洋介</c:v>
                </c:pt>
                <c:pt idx="10">
                  <c:v>富永知弘</c:v>
                </c:pt>
                <c:pt idx="11">
                  <c:v>上村龍則</c:v>
                </c:pt>
                <c:pt idx="12">
                  <c:v>久保田拓也</c:v>
                </c:pt>
                <c:pt idx="13">
                  <c:v>池谷一志</c:v>
                </c:pt>
                <c:pt idx="14">
                  <c:v>川上司</c:v>
                </c:pt>
                <c:pt idx="15">
                  <c:v>山藤明子</c:v>
                </c:pt>
                <c:pt idx="16">
                  <c:v>畑山康弘</c:v>
                </c:pt>
                <c:pt idx="17">
                  <c:v>飯塚敬三</c:v>
                </c:pt>
                <c:pt idx="18">
                  <c:v>石川雄太</c:v>
                </c:pt>
                <c:pt idx="19">
                  <c:v>大崎真靖</c:v>
                </c:pt>
                <c:pt idx="20">
                  <c:v>重見勝彦</c:v>
                </c:pt>
                <c:pt idx="21">
                  <c:v>平一哲</c:v>
                </c:pt>
                <c:pt idx="22">
                  <c:v>藤原綾菜</c:v>
                </c:pt>
                <c:pt idx="23">
                  <c:v>松下優希</c:v>
                </c:pt>
                <c:pt idx="24">
                  <c:v>森山凌太</c:v>
                </c:pt>
                <c:pt idx="25">
                  <c:v>吉田淳子</c:v>
                </c:pt>
                <c:pt idx="26">
                  <c:v>桐原幹子</c:v>
                </c:pt>
                <c:pt idx="27">
                  <c:v>今岡和則</c:v>
                </c:pt>
                <c:pt idx="28">
                  <c:v>松尾博之</c:v>
                </c:pt>
                <c:pt idx="29">
                  <c:v>清水正男</c:v>
                </c:pt>
                <c:pt idx="30">
                  <c:v>浅津慧</c:v>
                </c:pt>
                <c:pt idx="31">
                  <c:v>竹下三和</c:v>
                </c:pt>
                <c:pt idx="32">
                  <c:v>竹中純司</c:v>
                </c:pt>
                <c:pt idx="33">
                  <c:v>上田悠宇</c:v>
                </c:pt>
                <c:pt idx="34">
                  <c:v>大野貴也</c:v>
                </c:pt>
                <c:pt idx="35">
                  <c:v>佐々木康</c:v>
                </c:pt>
                <c:pt idx="36">
                  <c:v>寺本広大</c:v>
                </c:pt>
                <c:pt idx="37">
                  <c:v>中本直基</c:v>
                </c:pt>
                <c:pt idx="38">
                  <c:v>西谷健司</c:v>
                </c:pt>
                <c:pt idx="39">
                  <c:v>宮本伸秋</c:v>
                </c:pt>
                <c:pt idx="40">
                  <c:v>森口忠</c:v>
                </c:pt>
                <c:pt idx="41">
                  <c:v>山本智基</c:v>
                </c:pt>
                <c:pt idx="42">
                  <c:v>野田秀哉</c:v>
                </c:pt>
                <c:pt idx="43">
                  <c:v>久保田崇仁</c:v>
                </c:pt>
                <c:pt idx="44">
                  <c:v>内田幸一</c:v>
                </c:pt>
                <c:pt idx="45">
                  <c:v>漆谷俊治</c:v>
                </c:pt>
                <c:pt idx="46">
                  <c:v>川口裕矢</c:v>
                </c:pt>
                <c:pt idx="47">
                  <c:v>久保田恭平</c:v>
                </c:pt>
                <c:pt idx="48">
                  <c:v>幸地秀隆</c:v>
                </c:pt>
                <c:pt idx="49">
                  <c:v>小林純平</c:v>
                </c:pt>
                <c:pt idx="50">
                  <c:v>小林達矢</c:v>
                </c:pt>
                <c:pt idx="51">
                  <c:v>山藤進一</c:v>
                </c:pt>
                <c:pt idx="52">
                  <c:v>富安零音</c:v>
                </c:pt>
                <c:pt idx="53">
                  <c:v>内藤大意</c:v>
                </c:pt>
                <c:pt idx="54">
                  <c:v>松前裕之</c:v>
                </c:pt>
                <c:pt idx="55">
                  <c:v>溝邉俊希</c:v>
                </c:pt>
                <c:pt idx="56">
                  <c:v>山根直希</c:v>
                </c:pt>
              </c:strCache>
            </c:strRef>
          </c:cat>
          <c:val>
            <c:numRef>
              <c:f>hiyari集計表並べ替え!$B$2:$B$58</c:f>
              <c:numCache>
                <c:formatCode>General</c:formatCode>
                <c:ptCount val="57"/>
                <c:pt idx="0">
                  <c:v>8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N30" sqref="N30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topLeftCell="A25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138</v>
      </c>
    </row>
    <row r="2" spans="1:2" x14ac:dyDescent="0.4">
      <c r="A2" t="s">
        <v>66</v>
      </c>
      <c r="B2">
        <v>8</v>
      </c>
    </row>
    <row r="3" spans="1:2" x14ac:dyDescent="0.4">
      <c r="A3" t="s">
        <v>40</v>
      </c>
      <c r="B3">
        <v>6</v>
      </c>
    </row>
    <row r="4" spans="1:2" x14ac:dyDescent="0.4">
      <c r="A4" t="s">
        <v>7</v>
      </c>
      <c r="B4">
        <v>3</v>
      </c>
    </row>
    <row r="5" spans="1:2" x14ac:dyDescent="0.4">
      <c r="A5" t="s">
        <v>5</v>
      </c>
      <c r="B5">
        <v>3</v>
      </c>
    </row>
    <row r="6" spans="1:2" x14ac:dyDescent="0.4">
      <c r="A6" t="s">
        <v>9</v>
      </c>
      <c r="B6">
        <v>3</v>
      </c>
    </row>
    <row r="7" spans="1:2" x14ac:dyDescent="0.4">
      <c r="A7" t="s">
        <v>135</v>
      </c>
      <c r="B7">
        <v>3</v>
      </c>
    </row>
    <row r="8" spans="1:2" x14ac:dyDescent="0.4">
      <c r="A8" t="s">
        <v>56</v>
      </c>
      <c r="B8">
        <v>2</v>
      </c>
    </row>
    <row r="9" spans="1:2" x14ac:dyDescent="0.4">
      <c r="A9" t="s">
        <v>113</v>
      </c>
      <c r="B9">
        <v>2</v>
      </c>
    </row>
    <row r="10" spans="1:2" x14ac:dyDescent="0.4">
      <c r="A10" t="s">
        <v>20</v>
      </c>
      <c r="B10">
        <v>2</v>
      </c>
    </row>
    <row r="11" spans="1:2" x14ac:dyDescent="0.4">
      <c r="A11" t="s">
        <v>23</v>
      </c>
      <c r="B11">
        <v>2</v>
      </c>
    </row>
    <row r="12" spans="1:2" x14ac:dyDescent="0.4">
      <c r="A12" t="s">
        <v>12</v>
      </c>
      <c r="B12">
        <v>2</v>
      </c>
    </row>
    <row r="13" spans="1:2" x14ac:dyDescent="0.4">
      <c r="A13" t="s">
        <v>36</v>
      </c>
      <c r="B13">
        <v>2</v>
      </c>
    </row>
    <row r="14" spans="1:2" x14ac:dyDescent="0.4">
      <c r="A14" t="s">
        <v>15</v>
      </c>
      <c r="B14">
        <v>2</v>
      </c>
    </row>
    <row r="15" spans="1:2" x14ac:dyDescent="0.4">
      <c r="A15" t="s">
        <v>4</v>
      </c>
      <c r="B15">
        <v>1</v>
      </c>
    </row>
    <row r="16" spans="1:2" x14ac:dyDescent="0.4">
      <c r="A16" t="s">
        <v>44</v>
      </c>
      <c r="B16">
        <v>1</v>
      </c>
    </row>
    <row r="17" spans="1:2" x14ac:dyDescent="0.4">
      <c r="A17" t="s">
        <v>83</v>
      </c>
      <c r="B17">
        <v>1</v>
      </c>
    </row>
    <row r="18" spans="1:2" x14ac:dyDescent="0.4">
      <c r="A18" t="s">
        <v>71</v>
      </c>
      <c r="B18">
        <v>1</v>
      </c>
    </row>
    <row r="19" spans="1:2" x14ac:dyDescent="0.4">
      <c r="A19" t="s">
        <v>47</v>
      </c>
      <c r="B19">
        <v>1</v>
      </c>
    </row>
    <row r="20" spans="1:2" x14ac:dyDescent="0.4">
      <c r="A20" t="s">
        <v>75</v>
      </c>
      <c r="B20">
        <v>1</v>
      </c>
    </row>
    <row r="21" spans="1:2" x14ac:dyDescent="0.4">
      <c r="A21" t="s">
        <v>50</v>
      </c>
      <c r="B21">
        <v>1</v>
      </c>
    </row>
    <row r="22" spans="1:2" x14ac:dyDescent="0.4">
      <c r="A22" t="s">
        <v>92</v>
      </c>
      <c r="B22">
        <v>1</v>
      </c>
    </row>
    <row r="23" spans="1:2" x14ac:dyDescent="0.4">
      <c r="A23" t="s">
        <v>65</v>
      </c>
      <c r="B23">
        <v>1</v>
      </c>
    </row>
    <row r="24" spans="1:2" x14ac:dyDescent="0.4">
      <c r="A24" t="s">
        <v>251</v>
      </c>
      <c r="B24">
        <v>1</v>
      </c>
    </row>
    <row r="25" spans="1:2" x14ac:dyDescent="0.4">
      <c r="A25" t="s">
        <v>136</v>
      </c>
      <c r="B25">
        <v>1</v>
      </c>
    </row>
    <row r="26" spans="1:2" x14ac:dyDescent="0.4">
      <c r="A26" t="s">
        <v>52</v>
      </c>
      <c r="B26">
        <v>1</v>
      </c>
    </row>
    <row r="27" spans="1:2" x14ac:dyDescent="0.4">
      <c r="A27" t="s">
        <v>57</v>
      </c>
      <c r="B27">
        <v>1</v>
      </c>
    </row>
    <row r="28" spans="1:2" x14ac:dyDescent="0.4">
      <c r="A28" t="s">
        <v>78</v>
      </c>
      <c r="B28">
        <v>1</v>
      </c>
    </row>
    <row r="29" spans="1:2" x14ac:dyDescent="0.4">
      <c r="A29" t="s">
        <v>116</v>
      </c>
      <c r="B29">
        <v>1</v>
      </c>
    </row>
    <row r="30" spans="1:2" x14ac:dyDescent="0.4">
      <c r="A30" t="s">
        <v>112</v>
      </c>
      <c r="B30">
        <v>1</v>
      </c>
    </row>
    <row r="31" spans="1:2" x14ac:dyDescent="0.4">
      <c r="A31" t="s">
        <v>114</v>
      </c>
      <c r="B31">
        <v>1</v>
      </c>
    </row>
    <row r="32" spans="1:2" x14ac:dyDescent="0.4">
      <c r="A32" t="s">
        <v>115</v>
      </c>
      <c r="B32">
        <v>1</v>
      </c>
    </row>
    <row r="33" spans="1:2" x14ac:dyDescent="0.4">
      <c r="A33" t="s">
        <v>117</v>
      </c>
      <c r="B33">
        <v>1</v>
      </c>
    </row>
    <row r="34" spans="1:2" x14ac:dyDescent="0.4">
      <c r="A34" t="s">
        <v>118</v>
      </c>
      <c r="B34">
        <v>1</v>
      </c>
    </row>
    <row r="35" spans="1:2" x14ac:dyDescent="0.4">
      <c r="A35" t="s">
        <v>24</v>
      </c>
      <c r="B35">
        <v>1</v>
      </c>
    </row>
    <row r="36" spans="1:2" x14ac:dyDescent="0.4">
      <c r="A36" t="s">
        <v>18</v>
      </c>
      <c r="B36">
        <v>1</v>
      </c>
    </row>
    <row r="37" spans="1:2" x14ac:dyDescent="0.4">
      <c r="A37" t="s">
        <v>25</v>
      </c>
      <c r="B37">
        <v>1</v>
      </c>
    </row>
    <row r="38" spans="1:2" x14ac:dyDescent="0.4">
      <c r="A38" t="s">
        <v>85</v>
      </c>
      <c r="B38">
        <v>1</v>
      </c>
    </row>
    <row r="39" spans="1:2" x14ac:dyDescent="0.4">
      <c r="A39" t="s">
        <v>90</v>
      </c>
      <c r="B39">
        <v>1</v>
      </c>
    </row>
    <row r="40" spans="1:2" x14ac:dyDescent="0.4">
      <c r="A40" t="s">
        <v>13</v>
      </c>
      <c r="B40">
        <v>1</v>
      </c>
    </row>
    <row r="41" spans="1:2" x14ac:dyDescent="0.4">
      <c r="A41" t="s">
        <v>14</v>
      </c>
      <c r="B41">
        <v>1</v>
      </c>
    </row>
    <row r="42" spans="1:2" x14ac:dyDescent="0.4">
      <c r="A42" t="s">
        <v>11</v>
      </c>
      <c r="B42">
        <v>1</v>
      </c>
    </row>
    <row r="43" spans="1:2" x14ac:dyDescent="0.4">
      <c r="A43" t="s">
        <v>111</v>
      </c>
      <c r="B43">
        <v>1</v>
      </c>
    </row>
    <row r="44" spans="1:2" x14ac:dyDescent="0.4">
      <c r="A44" t="s">
        <v>81</v>
      </c>
      <c r="B44">
        <v>1</v>
      </c>
    </row>
    <row r="45" spans="1:2" x14ac:dyDescent="0.4">
      <c r="A45" t="s">
        <v>34</v>
      </c>
      <c r="B45">
        <v>1</v>
      </c>
    </row>
    <row r="46" spans="1:2" x14ac:dyDescent="0.4">
      <c r="A46" t="s">
        <v>3</v>
      </c>
      <c r="B46">
        <v>1</v>
      </c>
    </row>
    <row r="47" spans="1:2" x14ac:dyDescent="0.4">
      <c r="A47" t="s">
        <v>46</v>
      </c>
      <c r="B47">
        <v>1</v>
      </c>
    </row>
    <row r="48" spans="1:2" x14ac:dyDescent="0.4">
      <c r="A48" t="s">
        <v>33</v>
      </c>
      <c r="B48">
        <v>1</v>
      </c>
    </row>
    <row r="49" spans="1:2" x14ac:dyDescent="0.4">
      <c r="A49" t="s">
        <v>49</v>
      </c>
      <c r="B49">
        <v>1</v>
      </c>
    </row>
    <row r="50" spans="1:2" x14ac:dyDescent="0.4">
      <c r="A50" t="s">
        <v>1</v>
      </c>
      <c r="B50">
        <v>1</v>
      </c>
    </row>
    <row r="51" spans="1:2" x14ac:dyDescent="0.4">
      <c r="A51" t="s">
        <v>32</v>
      </c>
      <c r="B51">
        <v>1</v>
      </c>
    </row>
    <row r="52" spans="1:2" x14ac:dyDescent="0.4">
      <c r="A52" t="s">
        <v>22</v>
      </c>
      <c r="B52">
        <v>1</v>
      </c>
    </row>
    <row r="53" spans="1:2" x14ac:dyDescent="0.4">
      <c r="A53" t="s">
        <v>37</v>
      </c>
      <c r="B53">
        <v>1</v>
      </c>
    </row>
    <row r="54" spans="1:2" x14ac:dyDescent="0.4">
      <c r="A54" t="s">
        <v>74</v>
      </c>
      <c r="B54">
        <v>1</v>
      </c>
    </row>
    <row r="55" spans="1:2" x14ac:dyDescent="0.4">
      <c r="A55" t="s">
        <v>43</v>
      </c>
      <c r="B55">
        <v>1</v>
      </c>
    </row>
    <row r="56" spans="1:2" x14ac:dyDescent="0.4">
      <c r="A56" t="s">
        <v>77</v>
      </c>
      <c r="B56">
        <v>1</v>
      </c>
    </row>
    <row r="57" spans="1:2" x14ac:dyDescent="0.4">
      <c r="A57" t="s">
        <v>19</v>
      </c>
      <c r="B57">
        <v>1</v>
      </c>
    </row>
    <row r="58" spans="1:2" x14ac:dyDescent="0.4">
      <c r="A58" t="s">
        <v>21</v>
      </c>
      <c r="B58">
        <v>1</v>
      </c>
    </row>
    <row r="59" spans="1:2" x14ac:dyDescent="0.4">
      <c r="A59" t="s">
        <v>6</v>
      </c>
      <c r="B59">
        <v>0</v>
      </c>
    </row>
    <row r="60" spans="1:2" x14ac:dyDescent="0.4">
      <c r="A60" t="s">
        <v>41</v>
      </c>
      <c r="B60">
        <v>0</v>
      </c>
    </row>
    <row r="61" spans="1:2" x14ac:dyDescent="0.4">
      <c r="A61" t="s">
        <v>10</v>
      </c>
      <c r="B61">
        <v>0</v>
      </c>
    </row>
    <row r="62" spans="1:2" x14ac:dyDescent="0.4">
      <c r="A62" t="s">
        <v>8</v>
      </c>
      <c r="B62">
        <v>0</v>
      </c>
    </row>
    <row r="63" spans="1:2" x14ac:dyDescent="0.4">
      <c r="A63" t="s">
        <v>124</v>
      </c>
      <c r="B63">
        <v>0</v>
      </c>
    </row>
    <row r="64" spans="1:2" x14ac:dyDescent="0.4">
      <c r="A64" t="s">
        <v>17</v>
      </c>
      <c r="B64">
        <v>0</v>
      </c>
    </row>
    <row r="65" spans="1:2" x14ac:dyDescent="0.4">
      <c r="A65" t="s">
        <v>16</v>
      </c>
      <c r="B65">
        <v>0</v>
      </c>
    </row>
    <row r="66" spans="1:2" x14ac:dyDescent="0.4">
      <c r="A66" t="s">
        <v>119</v>
      </c>
      <c r="B66">
        <v>0</v>
      </c>
    </row>
    <row r="67" spans="1:2" x14ac:dyDescent="0.4">
      <c r="A67" t="s">
        <v>2</v>
      </c>
      <c r="B67">
        <v>0</v>
      </c>
    </row>
    <row r="68" spans="1:2" x14ac:dyDescent="0.4">
      <c r="A68" t="s">
        <v>59</v>
      </c>
      <c r="B68">
        <v>0</v>
      </c>
    </row>
    <row r="69" spans="1:2" x14ac:dyDescent="0.4">
      <c r="A69" t="s">
        <v>38</v>
      </c>
      <c r="B69">
        <v>0</v>
      </c>
    </row>
    <row r="70" spans="1:2" x14ac:dyDescent="0.4">
      <c r="A70" t="s">
        <v>84</v>
      </c>
      <c r="B70">
        <v>0</v>
      </c>
    </row>
    <row r="71" spans="1:2" x14ac:dyDescent="0.4">
      <c r="A71" t="s">
        <v>54</v>
      </c>
      <c r="B71">
        <v>0</v>
      </c>
    </row>
    <row r="72" spans="1:2" x14ac:dyDescent="0.4">
      <c r="A72" t="s">
        <v>63</v>
      </c>
      <c r="B72">
        <v>0</v>
      </c>
    </row>
    <row r="73" spans="1:2" x14ac:dyDescent="0.4">
      <c r="A73" t="s">
        <v>88</v>
      </c>
      <c r="B73">
        <v>0</v>
      </c>
    </row>
    <row r="74" spans="1:2" x14ac:dyDescent="0.4">
      <c r="A74" t="s">
        <v>61</v>
      </c>
      <c r="B74">
        <v>0</v>
      </c>
    </row>
    <row r="75" spans="1:2" x14ac:dyDescent="0.4">
      <c r="A75" t="s">
        <v>68</v>
      </c>
      <c r="B75">
        <v>0</v>
      </c>
    </row>
    <row r="76" spans="1:2" x14ac:dyDescent="0.4">
      <c r="A76" t="s">
        <v>132</v>
      </c>
      <c r="B76">
        <v>0</v>
      </c>
    </row>
    <row r="77" spans="1:2" x14ac:dyDescent="0.4">
      <c r="A77" t="s">
        <v>133</v>
      </c>
      <c r="B77">
        <v>0</v>
      </c>
    </row>
    <row r="78" spans="1:2" x14ac:dyDescent="0.4">
      <c r="A78" t="s">
        <v>131</v>
      </c>
      <c r="B78">
        <v>0</v>
      </c>
    </row>
    <row r="79" spans="1:2" x14ac:dyDescent="0.4">
      <c r="A79" t="s">
        <v>134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67</v>
      </c>
      <c r="B81">
        <v>0</v>
      </c>
    </row>
    <row r="82" spans="1:2" x14ac:dyDescent="0.4">
      <c r="A82" t="s">
        <v>107</v>
      </c>
      <c r="B82">
        <v>0</v>
      </c>
    </row>
    <row r="83" spans="1:2" x14ac:dyDescent="0.4">
      <c r="A83" t="s">
        <v>108</v>
      </c>
      <c r="B83">
        <v>0</v>
      </c>
    </row>
    <row r="84" spans="1:2" x14ac:dyDescent="0.4">
      <c r="A84" t="s">
        <v>109</v>
      </c>
      <c r="B84">
        <v>0</v>
      </c>
    </row>
    <row r="85" spans="1:2" x14ac:dyDescent="0.4"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4"/>
  <sheetViews>
    <sheetView workbookViewId="0">
      <pane xSplit="2" ySplit="1" topLeftCell="C36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105</v>
      </c>
      <c r="B1" t="s">
        <v>0</v>
      </c>
      <c r="C1" t="s">
        <v>138</v>
      </c>
      <c r="D1" s="3" t="s">
        <v>93</v>
      </c>
      <c r="E1" s="3" t="s">
        <v>94</v>
      </c>
      <c r="F1" s="3" t="s">
        <v>95</v>
      </c>
      <c r="G1" s="3" t="s">
        <v>96</v>
      </c>
      <c r="H1" s="3" t="s">
        <v>97</v>
      </c>
      <c r="I1" s="3" t="s">
        <v>98</v>
      </c>
      <c r="J1" s="3" t="s">
        <v>99</v>
      </c>
      <c r="K1" s="3" t="s">
        <v>100</v>
      </c>
      <c r="L1" s="3" t="s">
        <v>101</v>
      </c>
      <c r="M1" s="3" t="s">
        <v>102</v>
      </c>
      <c r="N1" s="3" t="s">
        <v>103</v>
      </c>
      <c r="O1" s="3" t="s">
        <v>104</v>
      </c>
      <c r="P1" t="s">
        <v>106</v>
      </c>
    </row>
    <row r="2" spans="1:16" x14ac:dyDescent="0.4">
      <c r="A2" t="s">
        <v>27</v>
      </c>
      <c r="B2" t="s">
        <v>4</v>
      </c>
      <c r="C2">
        <f t="shared" ref="C2:C33" si="0">SUM(D2:O2)</f>
        <v>1</v>
      </c>
      <c r="O2">
        <v>1</v>
      </c>
    </row>
    <row r="3" spans="1:16" x14ac:dyDescent="0.4">
      <c r="A3" t="s">
        <v>27</v>
      </c>
      <c r="B3" t="s">
        <v>44</v>
      </c>
      <c r="C3">
        <f t="shared" si="0"/>
        <v>1</v>
      </c>
      <c r="O3">
        <v>1</v>
      </c>
    </row>
    <row r="4" spans="1:16" x14ac:dyDescent="0.4">
      <c r="A4" t="s">
        <v>27</v>
      </c>
      <c r="B4" t="s">
        <v>7</v>
      </c>
      <c r="C4">
        <f t="shared" si="0"/>
        <v>3</v>
      </c>
      <c r="O4">
        <v>3</v>
      </c>
    </row>
    <row r="5" spans="1:16" x14ac:dyDescent="0.4">
      <c r="A5" t="s">
        <v>82</v>
      </c>
      <c r="B5" t="s">
        <v>83</v>
      </c>
      <c r="C5">
        <f t="shared" si="0"/>
        <v>1</v>
      </c>
      <c r="O5">
        <v>1</v>
      </c>
    </row>
    <row r="6" spans="1:16" x14ac:dyDescent="0.4">
      <c r="A6" t="s">
        <v>27</v>
      </c>
      <c r="B6" t="s">
        <v>6</v>
      </c>
      <c r="C6">
        <f t="shared" si="0"/>
        <v>0</v>
      </c>
    </row>
    <row r="7" spans="1:16" x14ac:dyDescent="0.4">
      <c r="A7" t="s">
        <v>27</v>
      </c>
      <c r="B7" t="s">
        <v>5</v>
      </c>
      <c r="C7">
        <f t="shared" si="0"/>
        <v>3</v>
      </c>
      <c r="H7">
        <v>1</v>
      </c>
      <c r="K7">
        <v>2</v>
      </c>
    </row>
    <row r="8" spans="1:16" x14ac:dyDescent="0.4">
      <c r="A8" t="s">
        <v>27</v>
      </c>
      <c r="B8" t="s">
        <v>66</v>
      </c>
      <c r="C8">
        <f t="shared" si="0"/>
        <v>8</v>
      </c>
      <c r="E8">
        <v>1</v>
      </c>
      <c r="F8">
        <v>2</v>
      </c>
      <c r="H8">
        <v>2</v>
      </c>
      <c r="I8">
        <v>1</v>
      </c>
      <c r="K8">
        <v>1</v>
      </c>
      <c r="O8">
        <v>1</v>
      </c>
    </row>
    <row r="9" spans="1:16" x14ac:dyDescent="0.15">
      <c r="A9" t="s">
        <v>72</v>
      </c>
      <c r="B9" t="s">
        <v>252</v>
      </c>
      <c r="C9">
        <f t="shared" si="0"/>
        <v>1</v>
      </c>
      <c r="E9" s="4"/>
      <c r="F9">
        <v>1</v>
      </c>
    </row>
    <row r="10" spans="1:16" x14ac:dyDescent="0.4">
      <c r="A10" t="s">
        <v>39</v>
      </c>
      <c r="B10" t="s">
        <v>40</v>
      </c>
      <c r="C10">
        <f t="shared" si="0"/>
        <v>6</v>
      </c>
      <c r="E10">
        <v>2</v>
      </c>
      <c r="F10">
        <v>1</v>
      </c>
      <c r="G10">
        <v>1</v>
      </c>
      <c r="K10">
        <v>2</v>
      </c>
    </row>
    <row r="11" spans="1:16" x14ac:dyDescent="0.4">
      <c r="A11" t="s">
        <v>28</v>
      </c>
      <c r="B11" t="s">
        <v>47</v>
      </c>
      <c r="C11">
        <f t="shared" si="0"/>
        <v>1</v>
      </c>
      <c r="O11">
        <v>1</v>
      </c>
    </row>
    <row r="12" spans="1:16" x14ac:dyDescent="0.4">
      <c r="A12" t="s">
        <v>28</v>
      </c>
      <c r="B12" t="s">
        <v>75</v>
      </c>
      <c r="C12">
        <f t="shared" si="0"/>
        <v>1</v>
      </c>
      <c r="O12">
        <v>1</v>
      </c>
    </row>
    <row r="13" spans="1:16" x14ac:dyDescent="0.4">
      <c r="A13" t="s">
        <v>28</v>
      </c>
      <c r="B13" t="s">
        <v>41</v>
      </c>
      <c r="C13">
        <f t="shared" si="0"/>
        <v>0</v>
      </c>
    </row>
    <row r="14" spans="1:16" x14ac:dyDescent="0.4">
      <c r="A14" t="s">
        <v>28</v>
      </c>
      <c r="B14" t="s">
        <v>50</v>
      </c>
      <c r="C14">
        <f t="shared" si="0"/>
        <v>1</v>
      </c>
      <c r="O14">
        <v>1</v>
      </c>
    </row>
    <row r="15" spans="1:16" x14ac:dyDescent="0.4">
      <c r="A15" t="s">
        <v>28</v>
      </c>
      <c r="B15" t="s">
        <v>9</v>
      </c>
      <c r="C15">
        <f t="shared" si="0"/>
        <v>3</v>
      </c>
      <c r="E15">
        <v>1</v>
      </c>
      <c r="I15">
        <v>1</v>
      </c>
      <c r="J15">
        <v>1</v>
      </c>
    </row>
    <row r="16" spans="1:16" x14ac:dyDescent="0.4">
      <c r="A16" t="s">
        <v>91</v>
      </c>
      <c r="B16" t="s">
        <v>92</v>
      </c>
      <c r="C16">
        <f t="shared" si="0"/>
        <v>1</v>
      </c>
      <c r="O16">
        <v>1</v>
      </c>
    </row>
    <row r="17" spans="1:15" x14ac:dyDescent="0.4">
      <c r="A17" t="s">
        <v>128</v>
      </c>
      <c r="B17" t="s">
        <v>135</v>
      </c>
      <c r="C17">
        <f t="shared" si="0"/>
        <v>3</v>
      </c>
      <c r="D17">
        <v>2</v>
      </c>
      <c r="O17">
        <v>1</v>
      </c>
    </row>
    <row r="18" spans="1:15" x14ac:dyDescent="0.4">
      <c r="A18" t="s">
        <v>64</v>
      </c>
      <c r="B18" t="s">
        <v>65</v>
      </c>
      <c r="C18">
        <f t="shared" si="0"/>
        <v>1</v>
      </c>
      <c r="I18">
        <v>1</v>
      </c>
    </row>
    <row r="19" spans="1:15" x14ac:dyDescent="0.4">
      <c r="A19" t="s">
        <v>28</v>
      </c>
      <c r="B19" t="s">
        <v>10</v>
      </c>
      <c r="C19">
        <f t="shared" si="0"/>
        <v>0</v>
      </c>
    </row>
    <row r="20" spans="1:15" x14ac:dyDescent="0.4">
      <c r="A20" t="s">
        <v>55</v>
      </c>
      <c r="B20" t="s">
        <v>56</v>
      </c>
      <c r="C20">
        <f t="shared" si="0"/>
        <v>2</v>
      </c>
      <c r="F20">
        <v>1</v>
      </c>
      <c r="J20">
        <v>1</v>
      </c>
    </row>
    <row r="21" spans="1:15" x14ac:dyDescent="0.4">
      <c r="A21" t="s">
        <v>126</v>
      </c>
      <c r="B21" t="s">
        <v>251</v>
      </c>
      <c r="C21">
        <f t="shared" si="0"/>
        <v>1</v>
      </c>
      <c r="O21">
        <v>1</v>
      </c>
    </row>
    <row r="22" spans="1:15" x14ac:dyDescent="0.4">
      <c r="A22" t="s">
        <v>28</v>
      </c>
      <c r="B22" t="s">
        <v>8</v>
      </c>
      <c r="C22">
        <f t="shared" si="0"/>
        <v>0</v>
      </c>
    </row>
    <row r="23" spans="1:15" x14ac:dyDescent="0.4">
      <c r="A23" t="s">
        <v>28</v>
      </c>
      <c r="B23" t="s">
        <v>136</v>
      </c>
      <c r="C23">
        <f t="shared" si="0"/>
        <v>1</v>
      </c>
      <c r="D23">
        <v>1</v>
      </c>
    </row>
    <row r="24" spans="1:15" x14ac:dyDescent="0.4">
      <c r="A24" t="s">
        <v>51</v>
      </c>
      <c r="B24" t="s">
        <v>52</v>
      </c>
      <c r="C24">
        <f t="shared" si="0"/>
        <v>1</v>
      </c>
      <c r="F24">
        <v>1</v>
      </c>
    </row>
    <row r="25" spans="1:15" x14ac:dyDescent="0.4">
      <c r="A25" t="s">
        <v>28</v>
      </c>
      <c r="B25" t="s">
        <v>57</v>
      </c>
      <c r="C25">
        <f t="shared" si="0"/>
        <v>1</v>
      </c>
      <c r="O25">
        <v>1</v>
      </c>
    </row>
    <row r="26" spans="1:15" x14ac:dyDescent="0.4">
      <c r="A26" t="s">
        <v>79</v>
      </c>
      <c r="B26" t="s">
        <v>78</v>
      </c>
      <c r="C26">
        <f t="shared" si="0"/>
        <v>1</v>
      </c>
      <c r="O26">
        <v>1</v>
      </c>
    </row>
    <row r="27" spans="1:15" x14ac:dyDescent="0.4">
      <c r="A27" t="s">
        <v>128</v>
      </c>
      <c r="B27" t="s">
        <v>116</v>
      </c>
      <c r="C27">
        <f t="shared" si="0"/>
        <v>1</v>
      </c>
      <c r="O27">
        <v>1</v>
      </c>
    </row>
    <row r="28" spans="1:15" x14ac:dyDescent="0.4">
      <c r="A28" t="s">
        <v>126</v>
      </c>
      <c r="B28" t="s">
        <v>112</v>
      </c>
      <c r="C28">
        <f t="shared" si="0"/>
        <v>1</v>
      </c>
      <c r="O28">
        <v>1</v>
      </c>
    </row>
    <row r="29" spans="1:15" x14ac:dyDescent="0.4">
      <c r="A29" t="s">
        <v>128</v>
      </c>
      <c r="B29" t="s">
        <v>114</v>
      </c>
      <c r="C29">
        <f t="shared" si="0"/>
        <v>1</v>
      </c>
      <c r="O29">
        <v>1</v>
      </c>
    </row>
    <row r="30" spans="1:15" x14ac:dyDescent="0.4">
      <c r="A30" t="s">
        <v>126</v>
      </c>
      <c r="B30" t="s">
        <v>115</v>
      </c>
      <c r="C30">
        <f t="shared" si="0"/>
        <v>1</v>
      </c>
      <c r="G30">
        <v>1</v>
      </c>
    </row>
    <row r="31" spans="1:15" x14ac:dyDescent="0.4">
      <c r="A31" t="s">
        <v>128</v>
      </c>
      <c r="B31" t="s">
        <v>117</v>
      </c>
      <c r="C31">
        <f t="shared" si="0"/>
        <v>1</v>
      </c>
      <c r="O31">
        <v>1</v>
      </c>
    </row>
    <row r="32" spans="1:15" x14ac:dyDescent="0.4">
      <c r="A32" t="s">
        <v>126</v>
      </c>
      <c r="B32" t="s">
        <v>118</v>
      </c>
      <c r="C32">
        <f t="shared" si="0"/>
        <v>1</v>
      </c>
      <c r="O32">
        <v>1</v>
      </c>
    </row>
    <row r="33" spans="1:15" x14ac:dyDescent="0.4">
      <c r="A33" t="s">
        <v>127</v>
      </c>
      <c r="B33" t="s">
        <v>137</v>
      </c>
      <c r="C33">
        <f t="shared" si="0"/>
        <v>2</v>
      </c>
      <c r="D33">
        <v>1</v>
      </c>
      <c r="G33">
        <v>1</v>
      </c>
    </row>
    <row r="34" spans="1:15" x14ac:dyDescent="0.4">
      <c r="A34" t="s">
        <v>30</v>
      </c>
      <c r="B34" t="s">
        <v>20</v>
      </c>
      <c r="C34">
        <f t="shared" ref="C34:C65" si="1">SUM(D34:O34)</f>
        <v>2</v>
      </c>
      <c r="J34">
        <v>1</v>
      </c>
      <c r="O34">
        <v>1</v>
      </c>
    </row>
    <row r="35" spans="1:15" x14ac:dyDescent="0.4">
      <c r="A35" t="s">
        <v>30</v>
      </c>
      <c r="B35" t="s">
        <v>24</v>
      </c>
      <c r="C35">
        <f t="shared" si="1"/>
        <v>1</v>
      </c>
      <c r="F35">
        <v>1</v>
      </c>
    </row>
    <row r="36" spans="1:15" x14ac:dyDescent="0.4">
      <c r="A36" t="s">
        <v>30</v>
      </c>
      <c r="B36" t="s">
        <v>18</v>
      </c>
      <c r="C36">
        <f t="shared" si="1"/>
        <v>1</v>
      </c>
      <c r="D36">
        <v>1</v>
      </c>
    </row>
    <row r="37" spans="1:15" x14ac:dyDescent="0.4">
      <c r="A37" t="s">
        <v>30</v>
      </c>
      <c r="B37" t="s">
        <v>23</v>
      </c>
      <c r="C37">
        <f t="shared" si="1"/>
        <v>2</v>
      </c>
      <c r="G37">
        <v>1</v>
      </c>
      <c r="J37">
        <v>1</v>
      </c>
    </row>
    <row r="38" spans="1:15" x14ac:dyDescent="0.4">
      <c r="A38" t="s">
        <v>110</v>
      </c>
      <c r="B38" t="s">
        <v>124</v>
      </c>
      <c r="C38">
        <f t="shared" si="1"/>
        <v>0</v>
      </c>
    </row>
    <row r="39" spans="1:15" x14ac:dyDescent="0.4">
      <c r="A39" t="s">
        <v>30</v>
      </c>
      <c r="B39" t="s">
        <v>25</v>
      </c>
      <c r="C39">
        <f t="shared" si="1"/>
        <v>1</v>
      </c>
      <c r="O39">
        <v>1</v>
      </c>
    </row>
    <row r="40" spans="1:15" x14ac:dyDescent="0.4">
      <c r="A40" t="s">
        <v>86</v>
      </c>
      <c r="B40" t="s">
        <v>85</v>
      </c>
      <c r="C40">
        <f t="shared" si="1"/>
        <v>1</v>
      </c>
      <c r="O40">
        <v>1</v>
      </c>
    </row>
    <row r="41" spans="1:15" x14ac:dyDescent="0.4">
      <c r="A41" t="s">
        <v>30</v>
      </c>
      <c r="B41" t="s">
        <v>12</v>
      </c>
      <c r="C41">
        <f t="shared" si="1"/>
        <v>2</v>
      </c>
      <c r="G41">
        <v>1</v>
      </c>
      <c r="J41">
        <v>1</v>
      </c>
    </row>
    <row r="42" spans="1:15" x14ac:dyDescent="0.4">
      <c r="A42" t="s">
        <v>89</v>
      </c>
      <c r="B42" t="s">
        <v>90</v>
      </c>
      <c r="C42">
        <f t="shared" si="1"/>
        <v>1</v>
      </c>
      <c r="O42">
        <v>1</v>
      </c>
    </row>
    <row r="43" spans="1:15" x14ac:dyDescent="0.4">
      <c r="A43" t="s">
        <v>30</v>
      </c>
      <c r="B43" t="s">
        <v>13</v>
      </c>
      <c r="C43">
        <f t="shared" si="1"/>
        <v>1</v>
      </c>
      <c r="O43">
        <v>1</v>
      </c>
    </row>
    <row r="44" spans="1:15" x14ac:dyDescent="0.4">
      <c r="A44" t="s">
        <v>30</v>
      </c>
      <c r="B44" t="s">
        <v>14</v>
      </c>
      <c r="C44">
        <f t="shared" si="1"/>
        <v>1</v>
      </c>
      <c r="L44">
        <v>1</v>
      </c>
    </row>
    <row r="45" spans="1:15" x14ac:dyDescent="0.4">
      <c r="A45" t="s">
        <v>30</v>
      </c>
      <c r="B45" t="s">
        <v>11</v>
      </c>
      <c r="C45">
        <f t="shared" si="1"/>
        <v>1</v>
      </c>
      <c r="O45">
        <v>1</v>
      </c>
    </row>
    <row r="46" spans="1:15" x14ac:dyDescent="0.4">
      <c r="A46" t="s">
        <v>125</v>
      </c>
      <c r="B46" t="s">
        <v>111</v>
      </c>
      <c r="C46">
        <f t="shared" si="1"/>
        <v>1</v>
      </c>
      <c r="O46">
        <v>1</v>
      </c>
    </row>
    <row r="47" spans="1:15" x14ac:dyDescent="0.4">
      <c r="A47" t="s">
        <v>80</v>
      </c>
      <c r="B47" t="s">
        <v>81</v>
      </c>
      <c r="C47">
        <f t="shared" si="1"/>
        <v>1</v>
      </c>
      <c r="O47">
        <v>1</v>
      </c>
    </row>
    <row r="48" spans="1:15" x14ac:dyDescent="0.4">
      <c r="A48" t="s">
        <v>29</v>
      </c>
      <c r="B48" t="s">
        <v>36</v>
      </c>
      <c r="C48">
        <f t="shared" si="1"/>
        <v>2</v>
      </c>
      <c r="E48">
        <v>1</v>
      </c>
      <c r="H48">
        <v>1</v>
      </c>
    </row>
    <row r="49" spans="1:15" x14ac:dyDescent="0.4">
      <c r="A49" t="s">
        <v>29</v>
      </c>
      <c r="B49" t="s">
        <v>34</v>
      </c>
      <c r="C49">
        <f t="shared" si="1"/>
        <v>1</v>
      </c>
      <c r="O49">
        <v>1</v>
      </c>
    </row>
    <row r="50" spans="1:15" x14ac:dyDescent="0.4">
      <c r="A50" t="s">
        <v>29</v>
      </c>
      <c r="B50" t="s">
        <v>15</v>
      </c>
      <c r="C50">
        <f t="shared" si="1"/>
        <v>2</v>
      </c>
      <c r="J50">
        <v>1</v>
      </c>
      <c r="L50">
        <v>1</v>
      </c>
    </row>
    <row r="51" spans="1:15" x14ac:dyDescent="0.4">
      <c r="A51" t="s">
        <v>29</v>
      </c>
      <c r="B51" t="s">
        <v>17</v>
      </c>
      <c r="C51">
        <f t="shared" si="1"/>
        <v>0</v>
      </c>
    </row>
    <row r="52" spans="1:15" x14ac:dyDescent="0.4">
      <c r="A52" t="s">
        <v>29</v>
      </c>
      <c r="B52" t="s">
        <v>16</v>
      </c>
      <c r="C52">
        <f t="shared" si="1"/>
        <v>0</v>
      </c>
    </row>
    <row r="53" spans="1:15" x14ac:dyDescent="0.4">
      <c r="A53" t="s">
        <v>129</v>
      </c>
      <c r="B53" t="s">
        <v>119</v>
      </c>
      <c r="C53">
        <f t="shared" si="1"/>
        <v>0</v>
      </c>
    </row>
    <row r="54" spans="1:15" x14ac:dyDescent="0.4">
      <c r="A54" t="s">
        <v>26</v>
      </c>
      <c r="B54" t="s">
        <v>2</v>
      </c>
      <c r="C54">
        <f t="shared" si="1"/>
        <v>0</v>
      </c>
    </row>
    <row r="55" spans="1:15" x14ac:dyDescent="0.4">
      <c r="A55" t="s">
        <v>58</v>
      </c>
      <c r="B55" t="s">
        <v>59</v>
      </c>
      <c r="C55">
        <f t="shared" si="1"/>
        <v>0</v>
      </c>
    </row>
    <row r="56" spans="1:15" x14ac:dyDescent="0.4">
      <c r="A56" t="s">
        <v>26</v>
      </c>
      <c r="B56" t="s">
        <v>3</v>
      </c>
      <c r="C56">
        <f t="shared" si="1"/>
        <v>1</v>
      </c>
      <c r="O56">
        <v>1</v>
      </c>
    </row>
    <row r="57" spans="1:15" x14ac:dyDescent="0.4">
      <c r="A57" t="s">
        <v>45</v>
      </c>
      <c r="B57" t="s">
        <v>46</v>
      </c>
      <c r="C57">
        <f t="shared" si="1"/>
        <v>1</v>
      </c>
      <c r="L57">
        <v>1</v>
      </c>
    </row>
    <row r="58" spans="1:15" x14ac:dyDescent="0.4">
      <c r="A58" t="s">
        <v>26</v>
      </c>
      <c r="B58" t="s">
        <v>38</v>
      </c>
      <c r="C58">
        <f t="shared" si="1"/>
        <v>0</v>
      </c>
    </row>
    <row r="59" spans="1:15" x14ac:dyDescent="0.4">
      <c r="A59" t="s">
        <v>31</v>
      </c>
      <c r="B59" t="s">
        <v>33</v>
      </c>
      <c r="C59">
        <f t="shared" si="1"/>
        <v>1</v>
      </c>
      <c r="I59">
        <v>1</v>
      </c>
    </row>
    <row r="60" spans="1:15" x14ac:dyDescent="0.4">
      <c r="A60" t="s">
        <v>48</v>
      </c>
      <c r="B60" t="s">
        <v>49</v>
      </c>
      <c r="C60">
        <f t="shared" si="1"/>
        <v>1</v>
      </c>
      <c r="M60">
        <v>1</v>
      </c>
    </row>
    <row r="61" spans="1:15" x14ac:dyDescent="0.4">
      <c r="A61" t="s">
        <v>26</v>
      </c>
      <c r="B61" t="s">
        <v>1</v>
      </c>
      <c r="C61">
        <f t="shared" si="1"/>
        <v>1</v>
      </c>
      <c r="O61">
        <v>1</v>
      </c>
    </row>
    <row r="62" spans="1:15" x14ac:dyDescent="0.4">
      <c r="A62" t="s">
        <v>31</v>
      </c>
      <c r="B62" t="s">
        <v>32</v>
      </c>
      <c r="C62">
        <f t="shared" si="1"/>
        <v>1</v>
      </c>
      <c r="I62">
        <v>1</v>
      </c>
    </row>
    <row r="63" spans="1:15" x14ac:dyDescent="0.4">
      <c r="A63" t="s">
        <v>26</v>
      </c>
      <c r="B63" t="s">
        <v>22</v>
      </c>
      <c r="C63">
        <f t="shared" si="1"/>
        <v>1</v>
      </c>
      <c r="I63">
        <v>1</v>
      </c>
    </row>
    <row r="64" spans="1:15" x14ac:dyDescent="0.4">
      <c r="A64" t="s">
        <v>26</v>
      </c>
      <c r="B64" t="s">
        <v>37</v>
      </c>
      <c r="C64">
        <f t="shared" si="1"/>
        <v>1</v>
      </c>
      <c r="L64">
        <v>1</v>
      </c>
    </row>
    <row r="65" spans="1:13" x14ac:dyDescent="0.4">
      <c r="A65" t="s">
        <v>73</v>
      </c>
      <c r="B65" t="s">
        <v>74</v>
      </c>
      <c r="C65">
        <f t="shared" si="1"/>
        <v>1</v>
      </c>
      <c r="F65">
        <v>1</v>
      </c>
    </row>
    <row r="66" spans="1:13" x14ac:dyDescent="0.4">
      <c r="A66" t="s">
        <v>42</v>
      </c>
      <c r="B66" t="s">
        <v>43</v>
      </c>
      <c r="C66">
        <f t="shared" ref="C66:C94" si="2">SUM(D66:O66)</f>
        <v>1</v>
      </c>
      <c r="E66">
        <v>1</v>
      </c>
    </row>
    <row r="67" spans="1:13" x14ac:dyDescent="0.4">
      <c r="A67" t="s">
        <v>73</v>
      </c>
      <c r="B67" t="s">
        <v>84</v>
      </c>
      <c r="C67">
        <f t="shared" si="2"/>
        <v>0</v>
      </c>
    </row>
    <row r="68" spans="1:13" x14ac:dyDescent="0.4">
      <c r="A68" t="s">
        <v>76</v>
      </c>
      <c r="B68" t="s">
        <v>77</v>
      </c>
      <c r="C68">
        <f t="shared" si="2"/>
        <v>1</v>
      </c>
      <c r="J68">
        <v>1</v>
      </c>
    </row>
    <row r="69" spans="1:13" x14ac:dyDescent="0.4">
      <c r="A69" t="s">
        <v>26</v>
      </c>
      <c r="B69" s="5" t="s">
        <v>19</v>
      </c>
      <c r="C69">
        <f t="shared" si="2"/>
        <v>1</v>
      </c>
      <c r="M69">
        <v>1</v>
      </c>
    </row>
    <row r="70" spans="1:13" x14ac:dyDescent="0.4">
      <c r="A70" t="s">
        <v>26</v>
      </c>
      <c r="B70" s="5" t="s">
        <v>21</v>
      </c>
      <c r="C70">
        <f t="shared" si="2"/>
        <v>1</v>
      </c>
      <c r="H70">
        <v>1</v>
      </c>
    </row>
    <row r="71" spans="1:13" x14ac:dyDescent="0.4">
      <c r="A71" t="s">
        <v>53</v>
      </c>
      <c r="B71" s="5" t="s">
        <v>54</v>
      </c>
      <c r="C71">
        <f t="shared" si="2"/>
        <v>0</v>
      </c>
    </row>
    <row r="72" spans="1:13" x14ac:dyDescent="0.4">
      <c r="A72" t="s">
        <v>62</v>
      </c>
      <c r="B72" s="5" t="s">
        <v>63</v>
      </c>
      <c r="C72">
        <f t="shared" si="2"/>
        <v>0</v>
      </c>
    </row>
    <row r="73" spans="1:13" x14ac:dyDescent="0.4">
      <c r="A73" t="s">
        <v>87</v>
      </c>
      <c r="B73" s="5" t="s">
        <v>88</v>
      </c>
      <c r="C73">
        <f t="shared" si="2"/>
        <v>0</v>
      </c>
    </row>
    <row r="74" spans="1:13" x14ac:dyDescent="0.4">
      <c r="A74" t="s">
        <v>60</v>
      </c>
      <c r="B74" s="5" t="s">
        <v>61</v>
      </c>
      <c r="C74">
        <f t="shared" si="2"/>
        <v>0</v>
      </c>
    </row>
    <row r="75" spans="1:13" x14ac:dyDescent="0.4">
      <c r="A75" t="s">
        <v>60</v>
      </c>
      <c r="B75" s="5" t="s">
        <v>68</v>
      </c>
      <c r="C75">
        <f t="shared" si="2"/>
        <v>0</v>
      </c>
    </row>
    <row r="76" spans="1:13" x14ac:dyDescent="0.4">
      <c r="A76" t="s">
        <v>130</v>
      </c>
      <c r="B76" s="5" t="s">
        <v>132</v>
      </c>
      <c r="C76">
        <f t="shared" si="2"/>
        <v>0</v>
      </c>
    </row>
    <row r="77" spans="1:13" x14ac:dyDescent="0.4">
      <c r="A77" t="s">
        <v>130</v>
      </c>
      <c r="B77" s="5" t="s">
        <v>133</v>
      </c>
      <c r="C77">
        <f t="shared" si="2"/>
        <v>0</v>
      </c>
    </row>
    <row r="78" spans="1:13" x14ac:dyDescent="0.4">
      <c r="A78" t="s">
        <v>130</v>
      </c>
      <c r="B78" s="5" t="s">
        <v>131</v>
      </c>
      <c r="C78">
        <f t="shared" si="2"/>
        <v>0</v>
      </c>
    </row>
    <row r="79" spans="1:13" x14ac:dyDescent="0.4">
      <c r="A79" t="s">
        <v>130</v>
      </c>
      <c r="B79" s="5" t="s">
        <v>134</v>
      </c>
      <c r="C79">
        <f t="shared" si="2"/>
        <v>0</v>
      </c>
    </row>
    <row r="80" spans="1:13" x14ac:dyDescent="0.15">
      <c r="A80" t="s">
        <v>69</v>
      </c>
      <c r="B80" s="5" t="s">
        <v>70</v>
      </c>
      <c r="C80">
        <f t="shared" si="2"/>
        <v>0</v>
      </c>
      <c r="E80" s="4"/>
      <c r="F80" s="4"/>
    </row>
    <row r="81" spans="1:6" x14ac:dyDescent="0.4">
      <c r="A81" t="s">
        <v>69</v>
      </c>
      <c r="B81" s="5" t="s">
        <v>67</v>
      </c>
      <c r="C81">
        <f t="shared" si="2"/>
        <v>0</v>
      </c>
    </row>
    <row r="82" spans="1:6" x14ac:dyDescent="0.15">
      <c r="A82" t="s">
        <v>69</v>
      </c>
      <c r="B82" s="5" t="s">
        <v>107</v>
      </c>
      <c r="C82">
        <f t="shared" si="2"/>
        <v>0</v>
      </c>
      <c r="E82" s="4"/>
      <c r="F82" s="4"/>
    </row>
    <row r="83" spans="1:6" x14ac:dyDescent="0.15">
      <c r="A83" t="s">
        <v>69</v>
      </c>
      <c r="B83" s="5" t="s">
        <v>108</v>
      </c>
      <c r="C83">
        <f t="shared" si="2"/>
        <v>0</v>
      </c>
      <c r="E83" s="4"/>
      <c r="F83" s="4"/>
    </row>
    <row r="84" spans="1:6" x14ac:dyDescent="0.15">
      <c r="A84" t="s">
        <v>69</v>
      </c>
      <c r="B84" s="5" t="s">
        <v>109</v>
      </c>
      <c r="C84">
        <f t="shared" si="2"/>
        <v>0</v>
      </c>
      <c r="E84" s="4"/>
      <c r="F84" s="4"/>
    </row>
    <row r="85" spans="1:6" x14ac:dyDescent="0.4">
      <c r="C85">
        <f t="shared" si="2"/>
        <v>0</v>
      </c>
    </row>
    <row r="86" spans="1:6" x14ac:dyDescent="0.4">
      <c r="C86">
        <f t="shared" si="2"/>
        <v>0</v>
      </c>
    </row>
    <row r="87" spans="1:6" x14ac:dyDescent="0.4">
      <c r="C87">
        <f t="shared" si="2"/>
        <v>0</v>
      </c>
    </row>
    <row r="88" spans="1:6" x14ac:dyDescent="0.4">
      <c r="C88">
        <f t="shared" si="2"/>
        <v>0</v>
      </c>
    </row>
    <row r="89" spans="1:6" x14ac:dyDescent="0.4">
      <c r="C89">
        <f t="shared" si="2"/>
        <v>0</v>
      </c>
    </row>
    <row r="90" spans="1:6" x14ac:dyDescent="0.4">
      <c r="C90">
        <f t="shared" si="2"/>
        <v>0</v>
      </c>
    </row>
    <row r="91" spans="1:6" x14ac:dyDescent="0.4">
      <c r="C91">
        <f t="shared" si="2"/>
        <v>0</v>
      </c>
    </row>
    <row r="92" spans="1:6" x14ac:dyDescent="0.4">
      <c r="C92">
        <f t="shared" si="2"/>
        <v>0</v>
      </c>
    </row>
    <row r="93" spans="1:6" x14ac:dyDescent="0.4">
      <c r="C93">
        <f t="shared" si="2"/>
        <v>0</v>
      </c>
    </row>
    <row r="94" spans="1:6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105</v>
      </c>
      <c r="B1" s="5" t="s">
        <v>120</v>
      </c>
      <c r="C1" s="5" t="s">
        <v>121</v>
      </c>
      <c r="D1" s="5" t="s">
        <v>122</v>
      </c>
      <c r="E1" s="5" t="s">
        <v>0</v>
      </c>
      <c r="F1" s="5" t="s">
        <v>123</v>
      </c>
    </row>
    <row r="2" spans="1:6" x14ac:dyDescent="0.15">
      <c r="A2" s="6" t="s">
        <v>146</v>
      </c>
      <c r="B2" s="6" t="s">
        <v>149</v>
      </c>
      <c r="C2" s="6" t="s">
        <v>150</v>
      </c>
      <c r="D2" s="6" t="s">
        <v>151</v>
      </c>
      <c r="E2" s="5" t="str">
        <f t="shared" ref="E2:E7" si="0">C2&amp;D2</f>
        <v>縄江修一</v>
      </c>
      <c r="F2" s="5">
        <f>VLOOKUP(E2,hiyari集計表!$B$2:$C$496,2,FALSE)</f>
        <v>0</v>
      </c>
    </row>
    <row r="3" spans="1:6" x14ac:dyDescent="0.15">
      <c r="A3" s="6" t="s">
        <v>161</v>
      </c>
      <c r="B3" s="6" t="s">
        <v>140</v>
      </c>
      <c r="C3" s="6" t="s">
        <v>145</v>
      </c>
      <c r="D3" s="6" t="s">
        <v>162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161</v>
      </c>
      <c r="B4" s="5" t="s">
        <v>149</v>
      </c>
      <c r="C4" s="5" t="s">
        <v>186</v>
      </c>
      <c r="D4" s="5" t="s">
        <v>187</v>
      </c>
      <c r="E4" s="5" t="str">
        <f t="shared" si="0"/>
        <v>友田勝久</v>
      </c>
      <c r="F4" s="5">
        <f>VLOOKUP(E4,hiyari集計表!$B$2:$C$496,2,FALSE)</f>
        <v>0</v>
      </c>
    </row>
    <row r="5" spans="1:6" x14ac:dyDescent="0.15">
      <c r="A5" s="6" t="s">
        <v>161</v>
      </c>
      <c r="B5" s="5"/>
      <c r="C5" s="5" t="s">
        <v>184</v>
      </c>
      <c r="D5" s="5" t="s">
        <v>190</v>
      </c>
      <c r="E5" s="5" t="str">
        <f t="shared" si="0"/>
        <v>久保田崇仁</v>
      </c>
      <c r="F5" s="5">
        <f>VLOOKUP(E5,hiyari集計表!$B$2:$C$496,2,FALSE)</f>
        <v>1</v>
      </c>
    </row>
    <row r="6" spans="1:6" x14ac:dyDescent="0.15">
      <c r="A6" s="6" t="s">
        <v>161</v>
      </c>
      <c r="B6" s="6"/>
      <c r="C6" s="6" t="s">
        <v>177</v>
      </c>
      <c r="D6" s="6" t="s">
        <v>178</v>
      </c>
      <c r="E6" s="5" t="str">
        <f t="shared" si="0"/>
        <v>山本智基</v>
      </c>
      <c r="F6" s="5">
        <f>VLOOKUP(E6,hiyari集計表!$B$2:$C$496,2,FALSE)</f>
        <v>1</v>
      </c>
    </row>
    <row r="7" spans="1:6" x14ac:dyDescent="0.4">
      <c r="A7" s="5" t="s">
        <v>191</v>
      </c>
      <c r="B7" s="5"/>
      <c r="C7" s="5" t="s">
        <v>210</v>
      </c>
      <c r="D7" s="5" t="s">
        <v>211</v>
      </c>
      <c r="E7" s="5" t="str">
        <f t="shared" si="0"/>
        <v>石川雄太</v>
      </c>
      <c r="F7" s="5">
        <f>VLOOKUP(E7,hiyari集計表!$B$2:$C$496,2,FALSE)</f>
        <v>1</v>
      </c>
    </row>
    <row r="8" spans="1:6" x14ac:dyDescent="0.15">
      <c r="A8" s="6" t="s">
        <v>146</v>
      </c>
      <c r="B8" s="6"/>
      <c r="C8" s="6" t="s">
        <v>158</v>
      </c>
      <c r="D8" s="6" t="s">
        <v>159</v>
      </c>
      <c r="E8" s="5" t="s">
        <v>252</v>
      </c>
      <c r="F8" s="5">
        <f>VLOOKUP(E8,hiyari集計表!$B$2:$C$496,2,FALSE)</f>
        <v>1</v>
      </c>
    </row>
    <row r="9" spans="1:6" x14ac:dyDescent="0.15">
      <c r="A9" s="6" t="s">
        <v>146</v>
      </c>
      <c r="B9" s="6"/>
      <c r="C9" s="6" t="s">
        <v>154</v>
      </c>
      <c r="D9" s="6" t="s">
        <v>155</v>
      </c>
      <c r="E9" s="5" t="str">
        <f t="shared" ref="E9:E40" si="1">C9&amp;D9</f>
        <v>池谷一志</v>
      </c>
      <c r="F9" s="5">
        <f>VLOOKUP(E9,hiyari集計表!$B$2:$C$496,2,FALSE)</f>
        <v>1</v>
      </c>
    </row>
    <row r="10" spans="1:6" x14ac:dyDescent="0.15">
      <c r="A10" s="6" t="s">
        <v>146</v>
      </c>
      <c r="B10" s="6"/>
      <c r="C10" s="6" t="s">
        <v>156</v>
      </c>
      <c r="D10" s="6" t="s">
        <v>157</v>
      </c>
      <c r="E10" s="5" t="str">
        <f t="shared" si="1"/>
        <v>川上司</v>
      </c>
      <c r="F10" s="5">
        <f>VLOOKUP(E10,hiyari集計表!$B$2:$C$496,2,FALSE)</f>
        <v>1</v>
      </c>
    </row>
    <row r="11" spans="1:6" x14ac:dyDescent="0.15">
      <c r="A11" s="6" t="s">
        <v>161</v>
      </c>
      <c r="B11" s="5" t="s">
        <v>165</v>
      </c>
      <c r="C11" s="6" t="s">
        <v>166</v>
      </c>
      <c r="D11" s="6" t="s">
        <v>167</v>
      </c>
      <c r="E11" s="5" t="str">
        <f t="shared" si="1"/>
        <v>宮本伸秋</v>
      </c>
      <c r="F11" s="5">
        <f>VLOOKUP(E11,hiyari集計表!$B$2:$C$496,2,FALSE)</f>
        <v>1</v>
      </c>
    </row>
    <row r="12" spans="1:6" x14ac:dyDescent="0.15">
      <c r="A12" s="6" t="s">
        <v>161</v>
      </c>
      <c r="B12" s="5" t="s">
        <v>149</v>
      </c>
      <c r="C12" s="6" t="s">
        <v>168</v>
      </c>
      <c r="D12" s="6" t="s">
        <v>169</v>
      </c>
      <c r="E12" s="5" t="str">
        <f t="shared" si="1"/>
        <v>中本直基</v>
      </c>
      <c r="F12" s="5">
        <f>VLOOKUP(E12,hiyari集計表!$B$2:$C$496,2,FALSE)</f>
        <v>1</v>
      </c>
    </row>
    <row r="13" spans="1:6" x14ac:dyDescent="0.15">
      <c r="A13" s="6" t="s">
        <v>161</v>
      </c>
      <c r="B13" s="6" t="s">
        <v>149</v>
      </c>
      <c r="C13" s="6" t="s">
        <v>170</v>
      </c>
      <c r="D13" s="6" t="s">
        <v>171</v>
      </c>
      <c r="E13" s="5" t="str">
        <f t="shared" si="1"/>
        <v>西谷健司</v>
      </c>
      <c r="F13" s="5">
        <f>VLOOKUP(E13,hiyari集計表!$B$2:$C$496,2,FALSE)</f>
        <v>1</v>
      </c>
    </row>
    <row r="14" spans="1:6" x14ac:dyDescent="0.15">
      <c r="A14" s="6" t="s">
        <v>161</v>
      </c>
      <c r="B14" s="6" t="s">
        <v>149</v>
      </c>
      <c r="C14" s="6" t="s">
        <v>174</v>
      </c>
      <c r="D14" s="6" t="s">
        <v>176</v>
      </c>
      <c r="E14" s="5" t="str">
        <f t="shared" si="1"/>
        <v>上田悠宇</v>
      </c>
      <c r="F14" s="5">
        <f>VLOOKUP(E14,hiyari集計表!$B$2:$C$496,2,FALSE)</f>
        <v>1</v>
      </c>
    </row>
    <row r="15" spans="1:6" x14ac:dyDescent="0.15">
      <c r="A15" s="6" t="s">
        <v>161</v>
      </c>
      <c r="B15" s="6"/>
      <c r="C15" s="6" t="s">
        <v>179</v>
      </c>
      <c r="D15" s="6" t="s">
        <v>180</v>
      </c>
      <c r="E15" s="5" t="str">
        <f t="shared" si="1"/>
        <v>寺本広大</v>
      </c>
      <c r="F15" s="5">
        <f>VLOOKUP(E15,hiyari集計表!$B$2:$C$496,2,FALSE)</f>
        <v>1</v>
      </c>
    </row>
    <row r="16" spans="1:6" x14ac:dyDescent="0.15">
      <c r="A16" s="6" t="s">
        <v>161</v>
      </c>
      <c r="B16" s="6"/>
      <c r="C16" s="7" t="s">
        <v>181</v>
      </c>
      <c r="D16" s="7" t="s">
        <v>182</v>
      </c>
      <c r="E16" s="5" t="str">
        <f t="shared" si="1"/>
        <v>野田秀哉</v>
      </c>
      <c r="F16" s="5">
        <f>VLOOKUP(E16,hiyari集計表!$B$2:$C$496,2,FALSE)</f>
        <v>1</v>
      </c>
    </row>
    <row r="17" spans="1:6" x14ac:dyDescent="0.4">
      <c r="A17" s="5" t="s">
        <v>191</v>
      </c>
      <c r="B17" s="5" t="s">
        <v>149</v>
      </c>
      <c r="C17" s="5" t="s">
        <v>194</v>
      </c>
      <c r="D17" s="5" t="s">
        <v>195</v>
      </c>
      <c r="E17" s="5" t="str">
        <f t="shared" si="1"/>
        <v>松尾博之</v>
      </c>
      <c r="F17" s="5">
        <f>VLOOKUP(E17,hiyari集計表!$B$2:$C$496,2,FALSE)</f>
        <v>1</v>
      </c>
    </row>
    <row r="18" spans="1:6" x14ac:dyDescent="0.4">
      <c r="A18" s="5" t="s">
        <v>191</v>
      </c>
      <c r="B18" s="5" t="s">
        <v>149</v>
      </c>
      <c r="C18" s="5" t="s">
        <v>196</v>
      </c>
      <c r="D18" s="5" t="s">
        <v>197</v>
      </c>
      <c r="E18" s="5" t="str">
        <f t="shared" si="1"/>
        <v>平一哲</v>
      </c>
      <c r="F18" s="5">
        <f>VLOOKUP(E18,hiyari集計表!$B$2:$C$496,2,FALSE)</f>
        <v>1</v>
      </c>
    </row>
    <row r="19" spans="1:6" x14ac:dyDescent="0.4">
      <c r="A19" s="5" t="s">
        <v>191</v>
      </c>
      <c r="B19" s="5" t="s">
        <v>149</v>
      </c>
      <c r="C19" s="5" t="s">
        <v>198</v>
      </c>
      <c r="D19" s="5" t="s">
        <v>199</v>
      </c>
      <c r="E19" s="5" t="str">
        <f t="shared" si="1"/>
        <v>飯塚敬三</v>
      </c>
      <c r="F19" s="5">
        <f>VLOOKUP(E19,hiyari集計表!$B$2:$C$496,2,FALSE)</f>
        <v>1</v>
      </c>
    </row>
    <row r="20" spans="1:6" x14ac:dyDescent="0.4">
      <c r="A20" s="5" t="s">
        <v>191</v>
      </c>
      <c r="B20" s="5"/>
      <c r="C20" s="5" t="s">
        <v>202</v>
      </c>
      <c r="D20" s="5" t="s">
        <v>203</v>
      </c>
      <c r="E20" s="5" t="str">
        <f t="shared" si="1"/>
        <v>清水正男</v>
      </c>
      <c r="F20" s="5">
        <f>VLOOKUP(E20,hiyari集計表!$B$2:$C$496,2,FALSE)</f>
        <v>1</v>
      </c>
    </row>
    <row r="21" spans="1:6" x14ac:dyDescent="0.4">
      <c r="A21" s="5" t="s">
        <v>191</v>
      </c>
      <c r="B21" s="5"/>
      <c r="C21" s="5" t="s">
        <v>204</v>
      </c>
      <c r="D21" s="5" t="s">
        <v>205</v>
      </c>
      <c r="E21" s="5" t="str">
        <f t="shared" si="1"/>
        <v>大崎真靖</v>
      </c>
      <c r="F21" s="5">
        <f>VLOOKUP(E21,hiyari集計表!$B$2:$C$496,2,FALSE)</f>
        <v>1</v>
      </c>
    </row>
    <row r="22" spans="1:6" x14ac:dyDescent="0.4">
      <c r="A22" s="5" t="s">
        <v>191</v>
      </c>
      <c r="B22" s="5"/>
      <c r="C22" s="5" t="s">
        <v>206</v>
      </c>
      <c r="D22" s="5" t="s">
        <v>207</v>
      </c>
      <c r="E22" s="5" t="str">
        <f t="shared" si="1"/>
        <v>浅津慧</v>
      </c>
      <c r="F22" s="5">
        <f>VLOOKUP(E22,hiyari集計表!$B$2:$C$496,2,FALSE)</f>
        <v>1</v>
      </c>
    </row>
    <row r="23" spans="1:6" x14ac:dyDescent="0.4">
      <c r="A23" s="5" t="s">
        <v>191</v>
      </c>
      <c r="B23" s="5"/>
      <c r="C23" s="5" t="s">
        <v>208</v>
      </c>
      <c r="D23" s="5" t="s">
        <v>209</v>
      </c>
      <c r="E23" s="5" t="str">
        <f t="shared" si="1"/>
        <v>今岡和則</v>
      </c>
      <c r="F23" s="5">
        <f>VLOOKUP(E23,hiyari集計表!$B$2:$C$496,2,FALSE)</f>
        <v>1</v>
      </c>
    </row>
    <row r="24" spans="1:6" x14ac:dyDescent="0.4">
      <c r="A24" s="5" t="s">
        <v>191</v>
      </c>
      <c r="B24" s="5"/>
      <c r="C24" s="5" t="s">
        <v>250</v>
      </c>
      <c r="D24" s="5" t="s">
        <v>212</v>
      </c>
      <c r="E24" s="5" t="str">
        <f t="shared" si="1"/>
        <v>森山凌太</v>
      </c>
      <c r="F24" s="5">
        <f>VLOOKUP(E24,hiyari集計表!$B$2:$C$496,2,FALSE)</f>
        <v>1</v>
      </c>
    </row>
    <row r="25" spans="1:6" x14ac:dyDescent="0.4">
      <c r="A25" s="5" t="s">
        <v>191</v>
      </c>
      <c r="B25" s="5"/>
      <c r="C25" s="5" t="s">
        <v>139</v>
      </c>
      <c r="D25" s="5" t="s">
        <v>217</v>
      </c>
      <c r="E25" s="5" t="str">
        <f t="shared" si="1"/>
        <v>吉田淳子</v>
      </c>
      <c r="F25" s="5">
        <f>VLOOKUP(E25,hiyari集計表!$B$2:$C$496,2,FALSE)</f>
        <v>1</v>
      </c>
    </row>
    <row r="26" spans="1:6" x14ac:dyDescent="0.4">
      <c r="A26" s="5" t="s">
        <v>191</v>
      </c>
      <c r="B26" s="5"/>
      <c r="C26" s="5" t="s">
        <v>218</v>
      </c>
      <c r="D26" s="5" t="s">
        <v>219</v>
      </c>
      <c r="E26" s="5" t="str">
        <f t="shared" si="1"/>
        <v>桐原幹子</v>
      </c>
      <c r="F26" s="5">
        <f>VLOOKUP(E26,hiyari集計表!$B$2:$C$496,2,FALSE)</f>
        <v>1</v>
      </c>
    </row>
    <row r="27" spans="1:6" x14ac:dyDescent="0.4">
      <c r="A27" s="5" t="s">
        <v>191</v>
      </c>
      <c r="B27" s="5"/>
      <c r="C27" s="5" t="s">
        <v>220</v>
      </c>
      <c r="D27" s="5" t="s">
        <v>221</v>
      </c>
      <c r="E27" s="5" t="str">
        <f t="shared" si="1"/>
        <v>竹下三和</v>
      </c>
      <c r="F27" s="5">
        <f>VLOOKUP(E27,hiyari集計表!$B$2:$C$496,2,FALSE)</f>
        <v>1</v>
      </c>
    </row>
    <row r="28" spans="1:6" x14ac:dyDescent="0.4">
      <c r="A28" s="5" t="s">
        <v>191</v>
      </c>
      <c r="B28" s="5"/>
      <c r="C28" s="5" t="s">
        <v>143</v>
      </c>
      <c r="D28" s="5" t="s">
        <v>222</v>
      </c>
      <c r="E28" s="5" t="str">
        <f t="shared" si="1"/>
        <v>藤原綾菜</v>
      </c>
      <c r="F28" s="5">
        <f>VLOOKUP(E28,hiyari集計表!$B$2:$C$496,2,FALSE)</f>
        <v>1</v>
      </c>
    </row>
    <row r="29" spans="1:6" x14ac:dyDescent="0.4">
      <c r="A29" s="5" t="s">
        <v>191</v>
      </c>
      <c r="B29" s="5"/>
      <c r="C29" s="5" t="s">
        <v>223</v>
      </c>
      <c r="D29" s="5" t="s">
        <v>225</v>
      </c>
      <c r="E29" s="5" t="str">
        <f t="shared" si="1"/>
        <v>重見勝彦</v>
      </c>
      <c r="F29" s="5">
        <f>VLOOKUP(E29,hiyari集計表!$B$2:$C$496,2,FALSE)</f>
        <v>1</v>
      </c>
    </row>
    <row r="30" spans="1:6" x14ac:dyDescent="0.4">
      <c r="A30" s="5" t="s">
        <v>191</v>
      </c>
      <c r="B30" s="5"/>
      <c r="C30" s="5" t="s">
        <v>226</v>
      </c>
      <c r="D30" s="5" t="s">
        <v>227</v>
      </c>
      <c r="E30" s="5" t="str">
        <f t="shared" si="1"/>
        <v>竹中純司</v>
      </c>
      <c r="F30" s="5">
        <f>VLOOKUP(E30,hiyari集計表!$B$2:$C$496,2,FALSE)</f>
        <v>1</v>
      </c>
    </row>
    <row r="31" spans="1:6" x14ac:dyDescent="0.4">
      <c r="A31" s="5" t="s">
        <v>191</v>
      </c>
      <c r="B31" s="5"/>
      <c r="C31" s="5" t="s">
        <v>228</v>
      </c>
      <c r="D31" s="5" t="s">
        <v>229</v>
      </c>
      <c r="E31" s="5" t="str">
        <f t="shared" si="1"/>
        <v>松下優希</v>
      </c>
      <c r="F31" s="5">
        <f>VLOOKUP(E31,hiyari集計表!$B$2:$C$496,2,FALSE)</f>
        <v>1</v>
      </c>
    </row>
    <row r="32" spans="1:6" x14ac:dyDescent="0.4">
      <c r="A32" s="5" t="s">
        <v>230</v>
      </c>
      <c r="B32" s="5" t="s">
        <v>183</v>
      </c>
      <c r="C32" s="5" t="s">
        <v>231</v>
      </c>
      <c r="D32" s="5" t="s">
        <v>232</v>
      </c>
      <c r="E32" s="5" t="str">
        <f t="shared" si="1"/>
        <v>幸地秀隆</v>
      </c>
      <c r="F32" s="5">
        <f>VLOOKUP(E32,hiyari集計表!$B$2:$C$496,2,FALSE)</f>
        <v>1</v>
      </c>
    </row>
    <row r="33" spans="1:6" x14ac:dyDescent="0.4">
      <c r="A33" s="5" t="s">
        <v>230</v>
      </c>
      <c r="B33" s="5" t="s">
        <v>149</v>
      </c>
      <c r="C33" s="5" t="s">
        <v>144</v>
      </c>
      <c r="D33" s="5" t="s">
        <v>233</v>
      </c>
      <c r="E33" s="5" t="str">
        <f t="shared" si="1"/>
        <v>内田幸一</v>
      </c>
      <c r="F33" s="5">
        <f>VLOOKUP(E33,hiyari集計表!$B$2:$C$496,2,FALSE)</f>
        <v>1</v>
      </c>
    </row>
    <row r="34" spans="1:6" x14ac:dyDescent="0.4">
      <c r="A34" s="5" t="s">
        <v>230</v>
      </c>
      <c r="B34" s="5" t="s">
        <v>149</v>
      </c>
      <c r="C34" s="5" t="s">
        <v>234</v>
      </c>
      <c r="D34" s="5" t="s">
        <v>235</v>
      </c>
      <c r="E34" s="5" t="str">
        <f t="shared" si="1"/>
        <v>溝邉俊希</v>
      </c>
      <c r="F34" s="5">
        <f>VLOOKUP(E34,hiyari集計表!$B$2:$C$496,2,FALSE)</f>
        <v>1</v>
      </c>
    </row>
    <row r="35" spans="1:6" x14ac:dyDescent="0.4">
      <c r="A35" s="5" t="s">
        <v>230</v>
      </c>
      <c r="B35" s="5" t="s">
        <v>149</v>
      </c>
      <c r="C35" s="5" t="s">
        <v>184</v>
      </c>
      <c r="D35" s="5" t="s">
        <v>236</v>
      </c>
      <c r="E35" s="5" t="str">
        <f t="shared" si="1"/>
        <v>久保田恭平</v>
      </c>
      <c r="F35" s="5">
        <f>VLOOKUP(E35,hiyari集計表!$B$2:$C$496,2,FALSE)</f>
        <v>1</v>
      </c>
    </row>
    <row r="36" spans="1:6" x14ac:dyDescent="0.4">
      <c r="A36" s="5" t="s">
        <v>230</v>
      </c>
      <c r="B36" s="5"/>
      <c r="C36" s="5" t="s">
        <v>237</v>
      </c>
      <c r="D36" s="5" t="s">
        <v>238</v>
      </c>
      <c r="E36" s="5" t="str">
        <f t="shared" si="1"/>
        <v>漆谷俊治</v>
      </c>
      <c r="F36" s="5">
        <f>VLOOKUP(E36,hiyari集計表!$B$2:$C$496,2,FALSE)</f>
        <v>1</v>
      </c>
    </row>
    <row r="37" spans="1:6" x14ac:dyDescent="0.4">
      <c r="A37" s="5" t="s">
        <v>230</v>
      </c>
      <c r="B37" s="5"/>
      <c r="C37" s="5" t="s">
        <v>160</v>
      </c>
      <c r="D37" s="5" t="s">
        <v>239</v>
      </c>
      <c r="E37" s="5" t="str">
        <f t="shared" si="1"/>
        <v>山藤進一</v>
      </c>
      <c r="F37" s="5">
        <f>VLOOKUP(E37,hiyari集計表!$B$2:$C$496,2,FALSE)</f>
        <v>1</v>
      </c>
    </row>
    <row r="38" spans="1:6" x14ac:dyDescent="0.4">
      <c r="A38" s="5" t="s">
        <v>230</v>
      </c>
      <c r="B38" s="5"/>
      <c r="C38" s="5" t="s">
        <v>240</v>
      </c>
      <c r="D38" s="5" t="s">
        <v>241</v>
      </c>
      <c r="E38" s="5" t="str">
        <f t="shared" si="1"/>
        <v>松前裕之</v>
      </c>
      <c r="F38" s="5">
        <f>VLOOKUP(E38,hiyari集計表!$B$2:$C$496,2,FALSE)</f>
        <v>1</v>
      </c>
    </row>
    <row r="39" spans="1:6" x14ac:dyDescent="0.4">
      <c r="A39" s="5" t="s">
        <v>230</v>
      </c>
      <c r="B39" s="5"/>
      <c r="C39" s="5" t="s">
        <v>242</v>
      </c>
      <c r="D39" s="5" t="s">
        <v>243</v>
      </c>
      <c r="E39" s="5" t="str">
        <f t="shared" si="1"/>
        <v>小林達矢</v>
      </c>
      <c r="F39" s="5">
        <f>VLOOKUP(E39,hiyari集計表!$B$2:$C$496,2,FALSE)</f>
        <v>1</v>
      </c>
    </row>
    <row r="40" spans="1:6" x14ac:dyDescent="0.4">
      <c r="A40" s="5" t="s">
        <v>230</v>
      </c>
      <c r="B40" s="5"/>
      <c r="C40" s="5" t="s">
        <v>141</v>
      </c>
      <c r="D40" s="5" t="s">
        <v>244</v>
      </c>
      <c r="E40" s="5" t="str">
        <f t="shared" si="1"/>
        <v>川口裕矢</v>
      </c>
      <c r="F40" s="5">
        <f>VLOOKUP(E40,hiyari集計表!$B$2:$C$496,2,FALSE)</f>
        <v>1</v>
      </c>
    </row>
    <row r="41" spans="1:6" x14ac:dyDescent="0.4">
      <c r="A41" s="5" t="s">
        <v>230</v>
      </c>
      <c r="B41" s="5"/>
      <c r="C41" s="5" t="s">
        <v>245</v>
      </c>
      <c r="D41" s="5" t="s">
        <v>246</v>
      </c>
      <c r="E41" s="5" t="str">
        <f t="shared" ref="E41:E58" si="2">C41&amp;D41</f>
        <v>山根直希</v>
      </c>
      <c r="F41" s="5">
        <f>VLOOKUP(E41,hiyari集計表!$B$2:$C$496,2,FALSE)</f>
        <v>1</v>
      </c>
    </row>
    <row r="42" spans="1:6" x14ac:dyDescent="0.4">
      <c r="A42" s="5" t="s">
        <v>230</v>
      </c>
      <c r="B42" s="5"/>
      <c r="C42" s="5" t="s">
        <v>242</v>
      </c>
      <c r="D42" s="5" t="s">
        <v>247</v>
      </c>
      <c r="E42" s="5" t="str">
        <f t="shared" si="2"/>
        <v>小林純平</v>
      </c>
      <c r="F42" s="5">
        <f>VLOOKUP(E42,hiyari集計表!$B$2:$C$496,2,FALSE)</f>
        <v>1</v>
      </c>
    </row>
    <row r="43" spans="1:6" x14ac:dyDescent="0.4">
      <c r="A43" s="5" t="s">
        <v>230</v>
      </c>
      <c r="B43" s="5"/>
      <c r="C43" s="5" t="s">
        <v>248</v>
      </c>
      <c r="D43" s="5" t="s">
        <v>249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161</v>
      </c>
      <c r="B44" s="6" t="s">
        <v>149</v>
      </c>
      <c r="C44" s="6" t="s">
        <v>174</v>
      </c>
      <c r="D44" s="6" t="s">
        <v>175</v>
      </c>
      <c r="E44" s="5" t="str">
        <f t="shared" si="2"/>
        <v>上田拓郎</v>
      </c>
      <c r="F44" s="5">
        <f>VLOOKUP(E44,hiyari集計表!$B$2:$C$496,2,FALSE)</f>
        <v>2</v>
      </c>
    </row>
    <row r="45" spans="1:6" x14ac:dyDescent="0.15">
      <c r="A45" s="6" t="s">
        <v>161</v>
      </c>
      <c r="B45" s="6" t="s">
        <v>147</v>
      </c>
      <c r="C45" s="6" t="s">
        <v>163</v>
      </c>
      <c r="D45" s="6" t="s">
        <v>164</v>
      </c>
      <c r="E45" s="5" t="str">
        <f t="shared" si="2"/>
        <v>坂根洋介</v>
      </c>
      <c r="F45" s="5">
        <f>VLOOKUP(E45,hiyari集計表!$B$2:$C$496,2,FALSE)</f>
        <v>2</v>
      </c>
    </row>
    <row r="46" spans="1:6" x14ac:dyDescent="0.15">
      <c r="A46" s="6" t="s">
        <v>161</v>
      </c>
      <c r="B46" s="6" t="s">
        <v>149</v>
      </c>
      <c r="C46" s="6" t="s">
        <v>172</v>
      </c>
      <c r="D46" s="6" t="s">
        <v>173</v>
      </c>
      <c r="E46" s="5" t="str">
        <f t="shared" si="2"/>
        <v>富永知弘</v>
      </c>
      <c r="F46" s="5">
        <f>VLOOKUP(E46,hiyari集計表!$B$2:$C$496,2,FALSE)</f>
        <v>2</v>
      </c>
    </row>
    <row r="47" spans="1:6" x14ac:dyDescent="0.15">
      <c r="A47" s="6" t="s">
        <v>161</v>
      </c>
      <c r="B47" s="5" t="s">
        <v>183</v>
      </c>
      <c r="C47" s="5" t="s">
        <v>184</v>
      </c>
      <c r="D47" s="5" t="s">
        <v>185</v>
      </c>
      <c r="E47" s="5" t="str">
        <f t="shared" si="2"/>
        <v>久保田拓也</v>
      </c>
      <c r="F47" s="5">
        <f>VLOOKUP(E47,hiyari集計表!$B$2:$C$496,2,FALSE)</f>
        <v>2</v>
      </c>
    </row>
    <row r="48" spans="1:6" x14ac:dyDescent="0.15">
      <c r="A48" s="6" t="s">
        <v>161</v>
      </c>
      <c r="B48" s="5" t="s">
        <v>149</v>
      </c>
      <c r="C48" s="5" t="s">
        <v>188</v>
      </c>
      <c r="D48" s="5" t="s">
        <v>189</v>
      </c>
      <c r="E48" s="5" t="str">
        <f t="shared" si="2"/>
        <v>上村龍則</v>
      </c>
      <c r="F48" s="5">
        <f>VLOOKUP(E48,hiyari集計表!$B$2:$C$496,2,FALSE)</f>
        <v>2</v>
      </c>
    </row>
    <row r="49" spans="1:6" x14ac:dyDescent="0.4">
      <c r="A49" s="5" t="s">
        <v>191</v>
      </c>
      <c r="B49" s="5"/>
      <c r="C49" s="5" t="s">
        <v>200</v>
      </c>
      <c r="D49" s="5" t="s">
        <v>201</v>
      </c>
      <c r="E49" s="5" t="str">
        <f t="shared" si="2"/>
        <v>長島成幸</v>
      </c>
      <c r="F49" s="5">
        <f>VLOOKUP(E49,hiyari集計表!$B$2:$C$496,2,FALSE)</f>
        <v>2</v>
      </c>
    </row>
    <row r="50" spans="1:6" x14ac:dyDescent="0.4">
      <c r="A50" s="5" t="s">
        <v>191</v>
      </c>
      <c r="B50" s="5"/>
      <c r="C50" s="5" t="s">
        <v>215</v>
      </c>
      <c r="D50" s="5" t="s">
        <v>216</v>
      </c>
      <c r="E50" s="5" t="str">
        <f t="shared" si="2"/>
        <v>田中隆侍</v>
      </c>
      <c r="F50" s="5">
        <f>VLOOKUP(E50,hiyari集計表!$B$2:$C$496,2,FALSE)</f>
        <v>2</v>
      </c>
    </row>
    <row r="51" spans="1:6" x14ac:dyDescent="0.15">
      <c r="A51" s="6" t="s">
        <v>146</v>
      </c>
      <c r="B51" s="6" t="s">
        <v>147</v>
      </c>
      <c r="C51" s="7" t="s">
        <v>148</v>
      </c>
      <c r="D51" s="7" t="s">
        <v>142</v>
      </c>
      <c r="E51" s="5" t="str">
        <f t="shared" si="2"/>
        <v>児玉直樹</v>
      </c>
      <c r="F51" s="5">
        <f>VLOOKUP(E51,hiyari集計表!$B$2:$C$496,2,FALSE)</f>
        <v>3</v>
      </c>
    </row>
    <row r="52" spans="1:6" x14ac:dyDescent="0.15">
      <c r="A52" s="6" t="s">
        <v>146</v>
      </c>
      <c r="B52" s="6" t="s">
        <v>149</v>
      </c>
      <c r="C52" s="6" t="s">
        <v>152</v>
      </c>
      <c r="D52" s="6" t="s">
        <v>153</v>
      </c>
      <c r="E52" s="5" t="str">
        <f t="shared" si="2"/>
        <v>和田香織</v>
      </c>
      <c r="F52" s="5">
        <f>VLOOKUP(E52,hiyari集計表!$B$2:$C$496,2,FALSE)</f>
        <v>3</v>
      </c>
    </row>
    <row r="53" spans="1:6" x14ac:dyDescent="0.4">
      <c r="A53" s="5" t="s">
        <v>191</v>
      </c>
      <c r="B53" s="5" t="s">
        <v>183</v>
      </c>
      <c r="C53" s="5" t="s">
        <v>192</v>
      </c>
      <c r="D53" s="5" t="s">
        <v>193</v>
      </c>
      <c r="E53" s="5" t="str">
        <f t="shared" si="2"/>
        <v>大野大介</v>
      </c>
      <c r="F53" s="5">
        <f>VLOOKUP(E53,hiyari集計表!$B$2:$C$496,2,FALSE)</f>
        <v>3</v>
      </c>
    </row>
    <row r="54" spans="1:6" x14ac:dyDescent="0.4">
      <c r="A54" s="5" t="s">
        <v>191</v>
      </c>
      <c r="B54" s="5"/>
      <c r="C54" s="5" t="s">
        <v>223</v>
      </c>
      <c r="D54" s="5" t="s">
        <v>224</v>
      </c>
      <c r="E54" s="5" t="str">
        <f t="shared" si="2"/>
        <v>重見恵子</v>
      </c>
      <c r="F54" s="5">
        <f>VLOOKUP(E54,hiyari集計表!$B$2:$C$496,2,FALSE)</f>
        <v>3</v>
      </c>
    </row>
    <row r="55" spans="1:6" x14ac:dyDescent="0.4">
      <c r="A55" s="5" t="s">
        <v>191</v>
      </c>
      <c r="B55" s="5"/>
      <c r="C55" s="5" t="s">
        <v>213</v>
      </c>
      <c r="D55" s="5" t="s">
        <v>214</v>
      </c>
      <c r="E55" s="5" t="str">
        <f t="shared" si="2"/>
        <v>粟谷明</v>
      </c>
      <c r="F55" s="5">
        <f>VLOOKUP(E55,hiyari集計表!$B$2:$C$496,2,FALSE)</f>
        <v>6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35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2024-02-28T02:36:14Z</cp:lastPrinted>
  <dcterms:created xsi:type="dcterms:W3CDTF">2018-09-26T04:23:29Z</dcterms:created>
  <dcterms:modified xsi:type="dcterms:W3CDTF">2024-02-28T02:36:28Z</dcterms:modified>
</cp:coreProperties>
</file>