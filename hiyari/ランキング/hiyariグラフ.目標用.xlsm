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2445" windowWidth="14370" windowHeight="9765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hiyari集計表!$A$1:$O$70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5" l="1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<sst xmlns="http://schemas.openxmlformats.org/spreadsheetml/2006/main" count="531" uniqueCount="354">
  <si>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</si>
  <si>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</si>
  <si>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</si>
  <si>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</si>
  <si>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</si>
  <si>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</si>
  <si>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</si>
  <si>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</si>
  <si>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</si>
  <si>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</si>
  <si>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</si>
  <si>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</si>
  <si>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</si>
  <si>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</si>
  <si>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</si>
  <si>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</si>
  <si>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</si>
  <si>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</si>
  <si>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</si>
  <si>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</si>
  <si>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</si>
  <si>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</si>
  <si>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</si>
  <si>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</si>
  <si>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</si>
  <si>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</si>
  <si>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</si>
  <si>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</si>
  <si>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</si>
  <si>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</si>
  <si>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</si>
  <si>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</si>
  <si>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</si>
  <si>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</si>
  <si>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</si>
  <si>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</si>
  <si>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</si>
  <si>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</si>
  <si>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</si>
  <si>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</si>
  <si>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</si>
  <si>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</si>
  <si>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</si>
  <si>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</si>
  <si>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</si>
  <si>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</si>
  <si>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</si>
  <si>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</si>
  <si>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</si>
  <si>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</si>
  <si>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</si>
  <si>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</si>
  <si>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</si>
  <si>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</si>
  <si>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</si>
  <si>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</si>
  <si>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</si>
  <si>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</si>
  <si>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</si>
  <si>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</si>
  <si>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</si>
  <si>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</si>
  <si>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</si>
  <si>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</si>
  <si>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</si>
  <si>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</si>
  <si>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</si>
  <si>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</si>
  <si>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</si>
  <si>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</si>
  <si>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</si>
  <si>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</si>
  <si>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</si>
  <si>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</si>
  <si>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</si>
  <si>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</si>
  <si>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</si>
  <si>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</si>
  <si>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</si>
  <si>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</si>
  <si>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</si>
  <si>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</si>
  <si>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</si>
  <si>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</si>
  <si>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</si>
  <si>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</si>
  <si>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</si>
  <si>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</si>
  <si>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</si>
  <si>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</si>
  <si>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</si>
  <si>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</si>
  <si>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</si>
  <si>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</si>
  <si>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</si>
  <si>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</si>
  <si>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</si>
  <si>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</si>
  <si>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</si>
  <si>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</si>
  <si>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</si>
  <si>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</si>
  <si>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</si>
  <si>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</si>
  <si>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</si>
  <si>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</si>
  <si>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</si>
  <si>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</si>
  <si>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</si>
  <si>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</si>
  <si>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</si>
  <si>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</si>
  <si>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</si>
  <si>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</si>
  <si>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</si>
  <si>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</si>
  <si>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</si>
  <si>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</si>
  <si>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</si>
  <si>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</si>
  <si>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</si>
  <si>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</si>
  <si>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</si>
  <si>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</si>
  <si>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</si>
  <si>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</si>
  <si>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</si>
  <si>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</si>
  <si>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</si>
  <si>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</si>
  <si>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</si>
  <si>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</si>
  <si>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</si>
  <si>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</si>
  <si>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</si>
  <si>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</si>
  <si>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</si>
  <si>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</si>
  <si>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</si>
  <si>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</si>
  <si>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</si>
  <si>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</si>
  <si>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</si>
  <si>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</si>
  <si>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</si>
  <si>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</si>
  <si>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</si>
  <si>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</si>
  <si>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</si>
  <si>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</si>
  <si>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</si>
  <si>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</si>
  <si>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</si>
  <si>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</si>
  <si>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</si>
  <si>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</si>
  <si>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</si>
  <si>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</si>
  <si>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</si>
  <si>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</si>
  <si>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</si>
  <si>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</si>
  <si>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</si>
  <si>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</si>
  <si>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</si>
  <si>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</si>
  <si>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</si>
  <si>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</si>
  <si>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</si>
  <si>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</si>
  <si>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</si>
  <si>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</si>
  <si>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</si>
  <si>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</si>
  <si>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</si>
  <si>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</si>
  <si>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</si>
  <si>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</si>
  <si>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</si>
  <si>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</si>
  <si>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</si>
  <si>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</si>
  <si>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</si>
  <si>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</si>
  <si>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</si>
  <si>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</si>
  <si>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</si>
  <si>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</si>
  <si>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</si>
  <si>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</si>
  <si>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</si>
  <si>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</si>
  <si>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</si>
  <si>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</si>
  <si>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</si>
  <si>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</si>
  <si>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</si>
  <si>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</si>
  <si>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</si>
  <si>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</si>
  <si>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</si>
  <si>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</si>
  <si>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</si>
  <si>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</si>
  <si>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</si>
  <si>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</si>
  <si>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</si>
  <si>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</si>
  <si>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</si>
  <si>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</si>
  <si>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</si>
  <si>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</si>
  <si>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</si>
  <si>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</si>
  <si>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</si>
  <si>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</si>
  <si>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</si>
  <si>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</si>
  <si>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</si>
  <si>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</si>
  <si>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</si>
  <si>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</si>
  <si>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</si>
  <si>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</si>
  <si>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</si>
  <si>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</si>
  <si>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</si>
  <si>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</si>
  <si>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</si>
  <si>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</si>
  <si>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</si>
  <si>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</si>
  <si>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</si>
  <si>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</si>
  <si>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</si>
  <si>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</si>
  <si>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</si>
  <si>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</si>
  <si>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</si>
  <si>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</si>
  <si>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</si>
  <si>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</si>
  <si>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</si>
  <si>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</si>
  <si>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</si>
  <si>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</si>
  <si>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</si>
  <si>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</si>
  <si>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</si>
  <si>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</si>
  <si>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</si>
  <si>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</si>
  <si>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</si>
  <si>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</si>
  <si>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</si>
  <si>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</si>
  <si>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</si>
  <si>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</si>
  <si>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</si>
  <si>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</si>
  <si>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</si>
  <si>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</si>
  <si>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</si>
  <si>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</si>
  <si>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</si>
  <si>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</si>
  <si>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</si>
  <si>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</si>
  <si>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</si>
  <si>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</si>
  <si>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</si>
  <si>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</si>
  <si>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</si>
  <si>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</si>
  <si>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</si>
  <si>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</si>
  <si>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</si>
  <si>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</si>
  <si>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</si>
  <si>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</si>
  <si>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</si>
  <si>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</si>
  <si>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</si>
  <si>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</si>
  <si>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</si>
  <si>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</si>
  <si>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</si>
  <si>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</si>
  <si>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</si>
  <si>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</si>
  <si>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</si>
  <si>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</si>
  <si>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</si>
  <si>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</si>
  <si>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</si>
  <si>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</si>
  <si>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</si>
  <si>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</si>
  <si>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</si>
  <si>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</si>
  <si>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</si>
  <si>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</si>
  <si>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</si>
  <si>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</si>
  <si>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</si>
  <si>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</si>
  <si>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</si>
  <si>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</si>
  <si>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</si>
  <si>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</si>
  <si>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</si>
  <si>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</si>
  <si>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</si>
  <si>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</si>
  <si>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</si>
  <si>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</si>
  <si>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</si>
  <si>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</si>
  <si>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</si>
  <si>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</si>
  <si>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</si>
  <si>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</si>
  <si>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</si>
  <si>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</si>
  <si>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</si>
  <si>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</si>
  <si>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</si>
  <si>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</si>
  <si>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</si>
  <si>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</si>
  <si>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</si>
  <si>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</si>
  <si>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</si>
  <si>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</si>
  <si>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</si>
  <si>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</si>
  <si>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</si>
  <si>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</si>
  <si>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</si>
  <si>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</si>
  <si>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</si>
  <si>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</si>
  <si>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</si>
  <si>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</si>
  <si>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</si>
  <si>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</si>
  <si>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</si>
  <si>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</si>
  <si>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-</t>
    <phoneticPr fontId="1"/>
  </si>
  <si>
    <t>-</t>
    <phoneticPr fontId="1"/>
  </si>
  <si>
    <t>-</t>
    <phoneticPr fontId="1"/>
  </si>
  <si>
    <t>-</t>
    <phoneticPr fontId="1"/>
  </si>
  <si>
    <t>-</t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</si>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</sst>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0" xfId="0" applyFill="1">
      <alignment vertical="center"/>
    </xf>
    <xf numFmtId="0" fontId="4" fillId="0" borderId="0" xfId="1" applyFont="1" applyBorder="1" applyAlignment="1">
      <alignment horizontal="left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5" xfId="0" applyBorder="1">
      <alignment vertical="center"/>
    </xf>
    <xf numFmtId="0" fontId="4" fillId="0" borderId="5" xfId="0" applyFont="1" applyBorder="1">
      <alignment vertical="center"/>
    </xf>
    <xf numFmtId="0" fontId="4" fillId="0" borderId="5" xfId="1" applyFont="1" applyBorder="1" applyAlignment="1">
      <alignment horizontal="left"/>
    </xf>
    <xf numFmtId="0" fontId="7" fillId="0" borderId="5" xfId="1" applyFont="1" applyBorder="1" applyAlignment="1">
      <alignment horizontal="left"/>
    </xf>
    <xf numFmtId="0" fontId="6" fillId="0" borderId="5" xfId="1" applyFont="1" applyBorder="1" applyAlignment="1">
      <alignment horizontal="left"/>
    </xf>
    <xf numFmtId="0" fontId="0" fillId="0" borderId="0" xfId="0" applyFill="1" applyBorder="1">
      <alignment vertical="center"/>
    </xf>
  </cellXfs>
  <cellStyles count="2">
    <cellStyle name="標準" xfId="0" builtinId="0"/>
    <cellStyle name="標準_Sheet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3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3月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13"/>
                <c:pt idx="0">
                  <c:v>重見恵子</c:v>
                </c:pt>
                <c:pt idx="1">
                  <c:v>松下優希</c:v>
                </c:pt>
                <c:pt idx="2">
                  <c:v>大野貴也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/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W30" sqref="W30"/>
    </sheetView>
  </sheetViews>
  <sheetFormatPr defaultRowHeight="18.75" x14ac:dyDescent="0.4"/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7"/>
  <sheetViews>
    <sheetView workbookViewId="0">
      <selection activeCell="A15" sqref="A15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96</v>
      </c>
    </row>
    <row r="2" spans="1:2" x14ac:dyDescent="0.4">
      <c r="A2" t="s">
        <v>346</v>
      </c>
      <c r="B2" s="4">
        <v>2</v>
      </c>
    </row>
    <row r="3" spans="1:2" x14ac:dyDescent="0.4">
      <c r="A3" t="s">
        <v>347</v>
      </c>
      <c r="B3" s="4">
        <v>1</v>
      </c>
    </row>
    <row r="4" spans="1:2" x14ac:dyDescent="0.4">
      <c r="A4" t="s">
        <v>18</v>
      </c>
      <c r="B4" s="4">
        <v>1</v>
      </c>
    </row>
    <row r="5" spans="1:2" x14ac:dyDescent="0.4">
      <c r="A5" t="s">
        <v>348</v>
      </c>
      <c r="B5" s="4"/>
    </row>
    <row r="6" spans="1:2" x14ac:dyDescent="0.4">
      <c r="A6" t="s">
        <v>349</v>
      </c>
      <c r="B6" s="4"/>
    </row>
    <row r="7" spans="1:2" x14ac:dyDescent="0.4">
      <c r="A7" t="s">
        <v>350</v>
      </c>
      <c r="B7" s="4"/>
    </row>
    <row r="8" spans="1:2" x14ac:dyDescent="0.4">
      <c r="A8" t="s">
        <v>351</v>
      </c>
      <c r="B8" s="4"/>
    </row>
    <row r="9" spans="1:2" x14ac:dyDescent="0.4">
      <c r="A9" t="s">
        <v>352</v>
      </c>
    </row>
    <row r="10" spans="1:2" x14ac:dyDescent="0.4">
      <c r="A10" t="s">
        <v>352</v>
      </c>
      <c r="B10" s="4"/>
    </row>
    <row r="11" spans="1:2" x14ac:dyDescent="0.4">
      <c r="A11" t="s">
        <v>352</v>
      </c>
      <c r="B11" s="4"/>
    </row>
    <row r="12" spans="1:2" x14ac:dyDescent="0.4">
      <c r="A12" t="s">
        <v>352</v>
      </c>
      <c r="B12" s="4"/>
    </row>
    <row r="13" spans="1:2" x14ac:dyDescent="0.4">
      <c r="A13" t="s">
        <v>348</v>
      </c>
    </row>
    <row r="14" spans="1:2" x14ac:dyDescent="0.4">
      <c r="A14" t="s">
        <v>353</v>
      </c>
      <c r="B14" s="4"/>
    </row>
    <row r="15" spans="1:2" x14ac:dyDescent="0.4">
      <c r="B15" s="4"/>
    </row>
    <row r="16" spans="1:2" x14ac:dyDescent="0.4">
      <c r="B16" s="4"/>
    </row>
    <row r="17" spans="2:2" x14ac:dyDescent="0.4">
      <c r="B17" s="4"/>
    </row>
    <row r="18" spans="2:2" x14ac:dyDescent="0.4">
      <c r="B18" s="4"/>
    </row>
    <row r="19" spans="2:2" x14ac:dyDescent="0.4">
      <c r="B19" s="4"/>
    </row>
    <row r="20" spans="2:2" x14ac:dyDescent="0.4">
      <c r="B20" s="4"/>
    </row>
    <row r="21" spans="2:2" x14ac:dyDescent="0.4">
      <c r="B21" s="4"/>
    </row>
    <row r="24" spans="2:2" x14ac:dyDescent="0.4">
      <c r="B24" s="4"/>
    </row>
    <row r="25" spans="2:2" x14ac:dyDescent="0.4">
      <c r="B25" s="4"/>
    </row>
    <row r="26" spans="2:2" x14ac:dyDescent="0.4">
      <c r="B26" s="4"/>
    </row>
    <row r="27" spans="2:2" x14ac:dyDescent="0.4">
      <c r="B27" s="4"/>
    </row>
    <row r="29" spans="2:2" x14ac:dyDescent="0.4">
      <c r="B29" s="4"/>
    </row>
    <row r="30" spans="2:2" x14ac:dyDescent="0.4">
      <c r="B30" s="4"/>
    </row>
    <row r="31" spans="2:2" x14ac:dyDescent="0.4">
      <c r="B31" s="4"/>
    </row>
    <row r="32" spans="2:2" x14ac:dyDescent="0.4">
      <c r="B32" s="4"/>
    </row>
    <row r="34" spans="2:2" x14ac:dyDescent="0.4">
      <c r="B34" s="4"/>
    </row>
    <row r="35" spans="2:2" x14ac:dyDescent="0.4">
      <c r="B35" s="4"/>
    </row>
    <row r="36" spans="2:2" x14ac:dyDescent="0.4">
      <c r="B36" s="4"/>
    </row>
    <row r="37" spans="2:2" x14ac:dyDescent="0.4">
      <c r="B37" s="4"/>
    </row>
    <row r="38" spans="2:2" x14ac:dyDescent="0.4">
      <c r="B38" s="4"/>
    </row>
    <row r="39" spans="2:2" x14ac:dyDescent="0.4">
      <c r="B39" s="4"/>
    </row>
    <row r="40" spans="2:2" x14ac:dyDescent="0.4">
      <c r="B40" s="4"/>
    </row>
    <row r="41" spans="2:2" x14ac:dyDescent="0.4">
      <c r="B41" s="4"/>
    </row>
    <row r="43" spans="2:2" x14ac:dyDescent="0.4">
      <c r="B43" s="4"/>
    </row>
    <row r="45" spans="2:2" x14ac:dyDescent="0.4">
      <c r="B45" s="4"/>
    </row>
    <row r="46" spans="2:2" x14ac:dyDescent="0.4">
      <c r="B46" s="4"/>
    </row>
    <row r="47" spans="2:2" x14ac:dyDescent="0.4">
      <c r="B47" s="4"/>
    </row>
    <row r="48" spans="2:2" x14ac:dyDescent="0.4">
      <c r="B48" s="4"/>
    </row>
    <row r="49" spans="2:2" x14ac:dyDescent="0.4">
      <c r="B49" s="4"/>
    </row>
    <row r="50" spans="2:2" x14ac:dyDescent="0.4">
      <c r="B50" s="4"/>
    </row>
    <row r="51" spans="2:2" x14ac:dyDescent="0.4">
      <c r="B51" s="4"/>
    </row>
    <row r="52" spans="2:2" x14ac:dyDescent="0.4">
      <c r="B52" s="4"/>
    </row>
    <row r="53" spans="2:2" x14ac:dyDescent="0.4">
      <c r="B53" s="4"/>
    </row>
    <row r="54" spans="2:2" x14ac:dyDescent="0.4">
      <c r="B54" s="4"/>
    </row>
    <row r="58" spans="2:2" x14ac:dyDescent="0.4">
      <c r="B58" s="4"/>
    </row>
    <row r="59" spans="2:2" x14ac:dyDescent="0.4">
      <c r="B59" s="4"/>
    </row>
    <row r="60" spans="2:2" x14ac:dyDescent="0.4">
      <c r="B60" s="4"/>
    </row>
    <row r="61" spans="2:2" x14ac:dyDescent="0.4">
      <c r="B61" s="4"/>
    </row>
    <row r="62" spans="2:2" x14ac:dyDescent="0.4">
      <c r="B62" s="4"/>
    </row>
    <row r="63" spans="2:2" x14ac:dyDescent="0.4">
      <c r="B63" s="4"/>
    </row>
    <row r="64" spans="2:2" x14ac:dyDescent="0.4">
      <c r="B64" s="4"/>
    </row>
    <row r="65" spans="2:2" x14ac:dyDescent="0.4">
      <c r="B65" s="4"/>
    </row>
    <row r="66" spans="2:2" x14ac:dyDescent="0.4">
      <c r="B66" s="4"/>
    </row>
    <row r="67" spans="2:2" x14ac:dyDescent="0.4">
      <c r="B67" s="4"/>
    </row>
    <row r="68" spans="2:2" x14ac:dyDescent="0.4">
      <c r="B68" s="4"/>
    </row>
    <row r="69" spans="2:2" x14ac:dyDescent="0.4">
      <c r="B69" s="4"/>
    </row>
    <row r="74" spans="2:2" x14ac:dyDescent="0.4">
      <c r="B74" s="4"/>
    </row>
    <row r="75" spans="2:2" x14ac:dyDescent="0.4">
      <c r="B75" s="4"/>
    </row>
    <row r="76" spans="2:2" x14ac:dyDescent="0.4">
      <c r="B76" s="4"/>
    </row>
    <row r="77" spans="2:2" x14ac:dyDescent="0.4">
      <c r="B77" s="4"/>
    </row>
    <row r="79" spans="2:2" x14ac:dyDescent="0.4">
      <c r="B79" s="4"/>
    </row>
    <row r="80" spans="2:2" x14ac:dyDescent="0.4">
      <c r="B80" s="4"/>
    </row>
    <row r="81" spans="2:2" x14ac:dyDescent="0.4">
      <c r="B81" s="4"/>
    </row>
    <row r="82" spans="2:2" x14ac:dyDescent="0.4">
      <c r="B82" s="4"/>
    </row>
    <row r="83" spans="2:2" x14ac:dyDescent="0.4">
      <c r="B83" s="4"/>
    </row>
    <row r="84" spans="2:2" x14ac:dyDescent="0.4">
      <c r="B84" s="4"/>
    </row>
    <row r="86" spans="2:2" x14ac:dyDescent="0.4">
      <c r="B86" s="4"/>
    </row>
    <row r="87" spans="2:2" x14ac:dyDescent="0.4">
      <c r="B87" s="4"/>
    </row>
  </sheetData>
  <autoFilter ref="A1:B51">
    <sortState ref="A2:B8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8"/>
  <sheetViews>
    <sheetView workbookViewId="0">
      <pane xSplit="2" ySplit="1" topLeftCell="C9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9" width="4.25" bestFit="1" customWidth="1"/>
    <col min="10" max="12" width="5.25" bestFit="1" customWidth="1"/>
    <col min="13" max="14" width="4.25" bestFit="1" customWidth="1"/>
    <col min="15" max="15" width="16.375" bestFit="1" customWidth="1"/>
  </cols>
  <sheetData>
    <row r="1" spans="1:15" x14ac:dyDescent="0.4">
      <c r="A1" t="s">
        <v>108</v>
      </c>
      <c r="B1" t="s">
        <v>0</v>
      </c>
      <c r="C1" s="3" t="s">
        <v>96</v>
      </c>
      <c r="D1" s="3" t="s">
        <v>97</v>
      </c>
      <c r="E1" s="3" t="s">
        <v>98</v>
      </c>
      <c r="F1" s="3" t="s">
        <v>99</v>
      </c>
      <c r="G1" s="3" t="s">
        <v>100</v>
      </c>
      <c r="H1" s="3" t="s">
        <v>101</v>
      </c>
      <c r="I1" s="3" t="s">
        <v>102</v>
      </c>
      <c r="J1" s="3" t="s">
        <v>103</v>
      </c>
      <c r="K1" s="3" t="s">
        <v>104</v>
      </c>
      <c r="L1" s="3" t="s">
        <v>105</v>
      </c>
      <c r="M1" s="3" t="s">
        <v>106</v>
      </c>
      <c r="N1" s="3" t="s">
        <v>107</v>
      </c>
      <c r="O1" t="s">
        <v>109</v>
      </c>
    </row>
    <row r="2" spans="1:15" x14ac:dyDescent="0.4">
      <c r="A2" t="s">
        <v>28</v>
      </c>
      <c r="B2" t="s">
        <v>5</v>
      </c>
    </row>
    <row r="3" spans="1:15" x14ac:dyDescent="0.4">
      <c r="A3" t="s">
        <v>28</v>
      </c>
      <c r="B3" t="s">
        <v>6</v>
      </c>
    </row>
    <row r="4" spans="1:15" x14ac:dyDescent="0.15">
      <c r="A4" t="s">
        <v>28</v>
      </c>
      <c r="B4" t="s">
        <v>74</v>
      </c>
      <c r="D4" s="5"/>
      <c r="E4" s="5"/>
    </row>
    <row r="5" spans="1:15" x14ac:dyDescent="0.4">
      <c r="A5" t="s">
        <v>85</v>
      </c>
      <c r="B5" t="s">
        <v>86</v>
      </c>
    </row>
    <row r="6" spans="1:15" x14ac:dyDescent="0.4">
      <c r="A6" t="s">
        <v>28</v>
      </c>
      <c r="B6" t="s">
        <v>7</v>
      </c>
    </row>
    <row r="7" spans="1:15" x14ac:dyDescent="0.4">
      <c r="A7" t="s">
        <v>28</v>
      </c>
      <c r="B7" t="s">
        <v>69</v>
      </c>
    </row>
    <row r="8" spans="1:15" x14ac:dyDescent="0.4">
      <c r="A8" t="s">
        <v>28</v>
      </c>
      <c r="B8" t="s">
        <v>4</v>
      </c>
    </row>
    <row r="9" spans="1:15" x14ac:dyDescent="0.4">
      <c r="A9" t="s">
        <v>28</v>
      </c>
      <c r="B9" t="s">
        <v>45</v>
      </c>
    </row>
    <row r="10" spans="1:15" x14ac:dyDescent="0.15">
      <c r="A10" t="s">
        <v>75</v>
      </c>
      <c r="B10" t="s">
        <v>74</v>
      </c>
      <c r="D10" s="5"/>
      <c r="E10" s="5"/>
    </row>
    <row r="11" spans="1:15" x14ac:dyDescent="0.4">
      <c r="A11" t="s">
        <v>40</v>
      </c>
      <c r="B11" t="s">
        <v>41</v>
      </c>
    </row>
    <row r="12" spans="1:15" x14ac:dyDescent="0.4">
      <c r="A12" t="s">
        <v>29</v>
      </c>
      <c r="B12" t="s">
        <v>9</v>
      </c>
    </row>
    <row r="13" spans="1:15" x14ac:dyDescent="0.4">
      <c r="A13" t="s">
        <v>29</v>
      </c>
      <c r="B13" t="s">
        <v>48</v>
      </c>
    </row>
    <row r="14" spans="1:15" x14ac:dyDescent="0.4">
      <c r="A14" t="s">
        <v>94</v>
      </c>
      <c r="B14" t="s">
        <v>95</v>
      </c>
    </row>
    <row r="15" spans="1:15" x14ac:dyDescent="0.4">
      <c r="A15" t="s">
        <v>82</v>
      </c>
      <c r="B15" t="s">
        <v>81</v>
      </c>
    </row>
    <row r="16" spans="1:15" x14ac:dyDescent="0.4">
      <c r="A16" t="s">
        <v>29</v>
      </c>
      <c r="B16" t="s">
        <v>8</v>
      </c>
    </row>
    <row r="17" spans="1:2" x14ac:dyDescent="0.4">
      <c r="A17" t="s">
        <v>29</v>
      </c>
      <c r="B17" t="s">
        <v>42</v>
      </c>
    </row>
    <row r="18" spans="1:2" x14ac:dyDescent="0.4">
      <c r="A18" t="s">
        <v>29</v>
      </c>
      <c r="B18" t="s">
        <v>10</v>
      </c>
    </row>
    <row r="19" spans="1:2" x14ac:dyDescent="0.4">
      <c r="A19" t="s">
        <v>67</v>
      </c>
      <c r="B19" t="s">
        <v>68</v>
      </c>
    </row>
    <row r="20" spans="1:2" x14ac:dyDescent="0.4">
      <c r="A20" t="s">
        <v>56</v>
      </c>
      <c r="B20" t="s">
        <v>57</v>
      </c>
    </row>
    <row r="21" spans="1:2" x14ac:dyDescent="0.4">
      <c r="A21" t="s">
        <v>29</v>
      </c>
      <c r="B21" t="s">
        <v>58</v>
      </c>
    </row>
    <row r="22" spans="1:2" x14ac:dyDescent="0.4">
      <c r="A22" t="s">
        <v>29</v>
      </c>
      <c r="B22" t="s">
        <v>51</v>
      </c>
    </row>
    <row r="23" spans="1:2" x14ac:dyDescent="0.4">
      <c r="A23" t="s">
        <v>29</v>
      </c>
      <c r="B23" t="s">
        <v>78</v>
      </c>
    </row>
    <row r="24" spans="1:2" x14ac:dyDescent="0.4">
      <c r="A24" t="s">
        <v>52</v>
      </c>
      <c r="B24" t="s">
        <v>53</v>
      </c>
    </row>
    <row r="25" spans="1:2" x14ac:dyDescent="0.4">
      <c r="A25" t="s">
        <v>337</v>
      </c>
      <c r="B25" s="10" t="s">
        <v>286</v>
      </c>
    </row>
    <row r="26" spans="1:2" x14ac:dyDescent="0.4">
      <c r="A26" t="s">
        <v>338</v>
      </c>
      <c r="B26" s="10" t="s">
        <v>290</v>
      </c>
    </row>
    <row r="27" spans="1:2" x14ac:dyDescent="0.4">
      <c r="A27" t="s">
        <v>339</v>
      </c>
      <c r="B27" s="10" t="s">
        <v>291</v>
      </c>
    </row>
    <row r="28" spans="1:2" x14ac:dyDescent="0.4">
      <c r="A28" t="s">
        <v>337</v>
      </c>
      <c r="B28" s="10" t="s">
        <v>294</v>
      </c>
    </row>
    <row r="29" spans="1:2" x14ac:dyDescent="0.4">
      <c r="A29" t="s">
        <v>339</v>
      </c>
      <c r="B29" s="10" t="s">
        <v>295</v>
      </c>
    </row>
    <row r="30" spans="1:2" x14ac:dyDescent="0.4">
      <c r="A30" t="s">
        <v>339</v>
      </c>
      <c r="B30" s="10" t="s">
        <v>334</v>
      </c>
    </row>
    <row r="31" spans="1:2" x14ac:dyDescent="0.4">
      <c r="A31" t="s">
        <v>339</v>
      </c>
      <c r="B31" s="10" t="s">
        <v>301</v>
      </c>
    </row>
    <row r="32" spans="1:2" x14ac:dyDescent="0.4">
      <c r="A32" t="s">
        <v>337</v>
      </c>
      <c r="B32" s="10" t="s">
        <v>302</v>
      </c>
    </row>
    <row r="33" spans="1:5" x14ac:dyDescent="0.4">
      <c r="A33" t="s">
        <v>339</v>
      </c>
      <c r="B33" s="10" t="s">
        <v>346</v>
      </c>
      <c r="C33">
        <v>2</v>
      </c>
    </row>
    <row r="34" spans="1:5" x14ac:dyDescent="0.4">
      <c r="A34" t="s">
        <v>29</v>
      </c>
      <c r="B34" s="18" t="s">
        <v>347</v>
      </c>
      <c r="C34">
        <v>1</v>
      </c>
    </row>
    <row r="35" spans="1:5" x14ac:dyDescent="0.4">
      <c r="A35" t="s">
        <v>337</v>
      </c>
      <c r="B35" s="10" t="s">
        <v>305</v>
      </c>
    </row>
    <row r="36" spans="1:5" x14ac:dyDescent="0.4">
      <c r="A36" t="s">
        <v>89</v>
      </c>
      <c r="B36" t="s">
        <v>88</v>
      </c>
    </row>
    <row r="37" spans="1:5" x14ac:dyDescent="0.4">
      <c r="A37" t="s">
        <v>31</v>
      </c>
      <c r="B37" t="s">
        <v>11</v>
      </c>
    </row>
    <row r="38" spans="1:5" x14ac:dyDescent="0.4">
      <c r="A38" t="s">
        <v>31</v>
      </c>
      <c r="B38" t="s">
        <v>12</v>
      </c>
    </row>
    <row r="39" spans="1:5" x14ac:dyDescent="0.4">
      <c r="A39" t="s">
        <v>31</v>
      </c>
      <c r="B39" t="s">
        <v>24</v>
      </c>
    </row>
    <row r="40" spans="1:5" x14ac:dyDescent="0.4">
      <c r="A40" t="s">
        <v>31</v>
      </c>
      <c r="B40" t="s">
        <v>13</v>
      </c>
    </row>
    <row r="41" spans="1:5" x14ac:dyDescent="0.4">
      <c r="A41" t="s">
        <v>31</v>
      </c>
      <c r="B41" t="s">
        <v>14</v>
      </c>
    </row>
    <row r="42" spans="1:5" x14ac:dyDescent="0.4">
      <c r="A42" t="s">
        <v>31</v>
      </c>
      <c r="B42" t="s">
        <v>18</v>
      </c>
      <c r="C42">
        <v>1</v>
      </c>
    </row>
    <row r="43" spans="1:5" x14ac:dyDescent="0.4">
      <c r="A43" t="s">
        <v>31</v>
      </c>
      <c r="B43" t="s">
        <v>25</v>
      </c>
    </row>
    <row r="44" spans="1:5" x14ac:dyDescent="0.4">
      <c r="A44" t="s">
        <v>83</v>
      </c>
      <c r="B44" t="s">
        <v>84</v>
      </c>
    </row>
    <row r="45" spans="1:5" x14ac:dyDescent="0.4">
      <c r="A45" t="s">
        <v>92</v>
      </c>
      <c r="B45" t="s">
        <v>93</v>
      </c>
    </row>
    <row r="46" spans="1:5" x14ac:dyDescent="0.4">
      <c r="A46" t="s">
        <v>31</v>
      </c>
      <c r="B46" t="s">
        <v>21</v>
      </c>
      <c r="D46" s="10"/>
      <c r="E46" s="10"/>
    </row>
    <row r="47" spans="1:5" x14ac:dyDescent="0.4">
      <c r="A47" t="s">
        <v>113</v>
      </c>
      <c r="B47" t="s">
        <v>335</v>
      </c>
      <c r="D47" s="10"/>
      <c r="E47" s="10"/>
    </row>
    <row r="48" spans="1:5" x14ac:dyDescent="0.4">
      <c r="A48" t="s">
        <v>31</v>
      </c>
      <c r="B48" t="s">
        <v>26</v>
      </c>
    </row>
    <row r="49" spans="1:5" x14ac:dyDescent="0.4">
      <c r="A49" t="s">
        <v>336</v>
      </c>
      <c r="B49" s="10" t="s">
        <v>270</v>
      </c>
    </row>
    <row r="50" spans="1:5" x14ac:dyDescent="0.4">
      <c r="A50" t="s">
        <v>30</v>
      </c>
      <c r="B50" t="s">
        <v>17</v>
      </c>
    </row>
    <row r="51" spans="1:5" x14ac:dyDescent="0.4">
      <c r="A51" t="s">
        <v>30</v>
      </c>
      <c r="B51" t="s">
        <v>35</v>
      </c>
    </row>
    <row r="52" spans="1:5" x14ac:dyDescent="0.4">
      <c r="A52" t="s">
        <v>30</v>
      </c>
      <c r="B52" t="s">
        <v>16</v>
      </c>
    </row>
    <row r="53" spans="1:5" x14ac:dyDescent="0.4">
      <c r="A53" t="s">
        <v>30</v>
      </c>
      <c r="B53" t="s">
        <v>19</v>
      </c>
    </row>
    <row r="54" spans="1:5" x14ac:dyDescent="0.4">
      <c r="A54" t="s">
        <v>59</v>
      </c>
      <c r="B54" t="s">
        <v>60</v>
      </c>
      <c r="D54" s="6"/>
      <c r="E54" s="8"/>
    </row>
    <row r="55" spans="1:5" x14ac:dyDescent="0.4">
      <c r="A55" t="s">
        <v>30</v>
      </c>
      <c r="B55" t="s">
        <v>15</v>
      </c>
    </row>
    <row r="56" spans="1:5" x14ac:dyDescent="0.4">
      <c r="A56" t="s">
        <v>30</v>
      </c>
      <c r="B56" t="s">
        <v>37</v>
      </c>
    </row>
    <row r="57" spans="1:5" x14ac:dyDescent="0.4">
      <c r="A57" t="s">
        <v>340</v>
      </c>
      <c r="B57" s="10" t="s">
        <v>329</v>
      </c>
    </row>
    <row r="58" spans="1:5" x14ac:dyDescent="0.4">
      <c r="A58" t="s">
        <v>27</v>
      </c>
      <c r="B58" t="s">
        <v>2</v>
      </c>
    </row>
    <row r="59" spans="1:5" x14ac:dyDescent="0.4">
      <c r="A59" t="s">
        <v>43</v>
      </c>
      <c r="B59" t="s">
        <v>44</v>
      </c>
      <c r="D59" s="10"/>
      <c r="E59" s="10"/>
    </row>
    <row r="60" spans="1:5" x14ac:dyDescent="0.4">
      <c r="A60" t="s">
        <v>27</v>
      </c>
      <c r="B60" t="s">
        <v>22</v>
      </c>
    </row>
    <row r="61" spans="1:5" x14ac:dyDescent="0.4">
      <c r="A61" t="s">
        <v>27</v>
      </c>
      <c r="B61" t="s">
        <v>39</v>
      </c>
    </row>
    <row r="62" spans="1:5" x14ac:dyDescent="0.4">
      <c r="A62" t="s">
        <v>27</v>
      </c>
      <c r="B62" t="s">
        <v>23</v>
      </c>
    </row>
    <row r="63" spans="1:5" x14ac:dyDescent="0.4">
      <c r="A63" t="s">
        <v>32</v>
      </c>
      <c r="B63" t="s">
        <v>33</v>
      </c>
    </row>
    <row r="64" spans="1:5" x14ac:dyDescent="0.4">
      <c r="A64" t="s">
        <v>32</v>
      </c>
      <c r="B64" t="s">
        <v>34</v>
      </c>
    </row>
    <row r="65" spans="1:5" x14ac:dyDescent="0.4">
      <c r="A65" t="s">
        <v>76</v>
      </c>
      <c r="B65" t="s">
        <v>87</v>
      </c>
      <c r="D65" s="7"/>
      <c r="E65" s="9"/>
    </row>
    <row r="66" spans="1:5" x14ac:dyDescent="0.4">
      <c r="A66" t="s">
        <v>76</v>
      </c>
      <c r="B66" t="s">
        <v>77</v>
      </c>
      <c r="D66" s="7"/>
      <c r="E66" s="9"/>
    </row>
    <row r="67" spans="1:5" x14ac:dyDescent="0.4">
      <c r="A67" t="s">
        <v>27</v>
      </c>
      <c r="B67" t="s">
        <v>1</v>
      </c>
      <c r="D67" s="7"/>
      <c r="E67" s="9"/>
    </row>
    <row r="68" spans="1:5" x14ac:dyDescent="0.4">
      <c r="A68" t="s">
        <v>27</v>
      </c>
      <c r="B68" t="s">
        <v>38</v>
      </c>
      <c r="D68" s="7"/>
      <c r="E68" s="9"/>
    </row>
    <row r="69" spans="1:5" x14ac:dyDescent="0.4">
      <c r="A69" t="s">
        <v>27</v>
      </c>
      <c r="B69" t="s">
        <v>3</v>
      </c>
      <c r="D69" s="6"/>
      <c r="E69" s="8"/>
    </row>
    <row r="70" spans="1:5" x14ac:dyDescent="0.4">
      <c r="A70" t="s">
        <v>27</v>
      </c>
      <c r="B70" t="s">
        <v>20</v>
      </c>
    </row>
    <row r="71" spans="1:5" x14ac:dyDescent="0.4">
      <c r="A71" t="s">
        <v>46</v>
      </c>
      <c r="B71" s="13" t="s">
        <v>47</v>
      </c>
    </row>
    <row r="72" spans="1:5" x14ac:dyDescent="0.4">
      <c r="A72" t="s">
        <v>54</v>
      </c>
      <c r="B72" s="13" t="s">
        <v>55</v>
      </c>
    </row>
    <row r="73" spans="1:5" x14ac:dyDescent="0.4">
      <c r="A73" t="s">
        <v>49</v>
      </c>
      <c r="B73" s="13" t="s">
        <v>50</v>
      </c>
    </row>
    <row r="74" spans="1:5" x14ac:dyDescent="0.4">
      <c r="A74" t="s">
        <v>61</v>
      </c>
      <c r="B74" s="13" t="s">
        <v>62</v>
      </c>
      <c r="D74" s="10"/>
      <c r="E74" s="10"/>
    </row>
    <row r="75" spans="1:5" x14ac:dyDescent="0.4">
      <c r="A75" t="s">
        <v>79</v>
      </c>
      <c r="B75" s="13" t="s">
        <v>80</v>
      </c>
      <c r="D75" s="10"/>
      <c r="E75" s="10"/>
    </row>
    <row r="76" spans="1:5" x14ac:dyDescent="0.4">
      <c r="A76" t="s">
        <v>65</v>
      </c>
      <c r="B76" s="13" t="s">
        <v>66</v>
      </c>
      <c r="D76" s="10"/>
      <c r="E76" s="10"/>
    </row>
    <row r="77" spans="1:5" x14ac:dyDescent="0.4">
      <c r="A77" t="s">
        <v>90</v>
      </c>
      <c r="B77" s="13" t="s">
        <v>91</v>
      </c>
    </row>
    <row r="78" spans="1:5" x14ac:dyDescent="0.4">
      <c r="A78" t="s">
        <v>63</v>
      </c>
      <c r="B78" s="13" t="s">
        <v>64</v>
      </c>
      <c r="D78" s="10"/>
      <c r="E78" s="10"/>
    </row>
    <row r="79" spans="1:5" x14ac:dyDescent="0.4">
      <c r="A79" t="s">
        <v>63</v>
      </c>
      <c r="B79" s="13" t="s">
        <v>71</v>
      </c>
      <c r="D79" s="10"/>
      <c r="E79" s="10"/>
    </row>
    <row r="80" spans="1:5" x14ac:dyDescent="0.4">
      <c r="A80" t="s">
        <v>72</v>
      </c>
      <c r="B80" s="13" t="s">
        <v>70</v>
      </c>
      <c r="D80" s="10"/>
      <c r="E80" s="10"/>
    </row>
    <row r="81" spans="1:5" x14ac:dyDescent="0.4">
      <c r="A81" t="s">
        <v>341</v>
      </c>
      <c r="B81" s="13" t="s">
        <v>343</v>
      </c>
      <c r="D81" s="10"/>
      <c r="E81" s="10"/>
    </row>
    <row r="82" spans="1:5" x14ac:dyDescent="0.4">
      <c r="A82" t="s">
        <v>341</v>
      </c>
      <c r="B82" s="13" t="s">
        <v>344</v>
      </c>
      <c r="D82" s="10"/>
      <c r="E82" s="10"/>
    </row>
    <row r="83" spans="1:5" x14ac:dyDescent="0.4">
      <c r="A83" t="s">
        <v>341</v>
      </c>
      <c r="B83" s="13" t="s">
        <v>345</v>
      </c>
      <c r="D83" s="10"/>
      <c r="E83" s="10"/>
    </row>
    <row r="84" spans="1:5" x14ac:dyDescent="0.4">
      <c r="A84" t="s">
        <v>341</v>
      </c>
      <c r="B84" s="13" t="s">
        <v>342</v>
      </c>
      <c r="D84" s="10"/>
      <c r="E84" s="10"/>
    </row>
    <row r="85" spans="1:5" x14ac:dyDescent="0.15">
      <c r="A85" t="s">
        <v>72</v>
      </c>
      <c r="B85" s="13" t="s">
        <v>110</v>
      </c>
      <c r="D85" s="5"/>
      <c r="E85" s="5"/>
    </row>
    <row r="86" spans="1:5" x14ac:dyDescent="0.15">
      <c r="A86" t="s">
        <v>72</v>
      </c>
      <c r="B86" s="13" t="s">
        <v>111</v>
      </c>
      <c r="D86" s="5"/>
      <c r="E86" s="5"/>
    </row>
    <row r="87" spans="1:5" x14ac:dyDescent="0.15">
      <c r="A87" t="s">
        <v>72</v>
      </c>
      <c r="B87" s="13" t="s">
        <v>112</v>
      </c>
      <c r="D87" s="5"/>
      <c r="E87" s="5"/>
    </row>
    <row r="88" spans="1:5" x14ac:dyDescent="0.15">
      <c r="A88" t="s">
        <v>72</v>
      </c>
      <c r="B88" s="13" t="s">
        <v>73</v>
      </c>
      <c r="D88" s="5"/>
      <c r="E88" s="5"/>
    </row>
  </sheetData>
  <autoFilter ref="A1:O70">
    <sortState ref="A2:P86">
      <sortCondition ref="A1:A71"/>
    </sortState>
  </autoFilter>
  <sortState ref="A2:E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13" t="s">
        <v>108</v>
      </c>
      <c r="B1" s="13" t="s">
        <v>330</v>
      </c>
      <c r="C1" s="13" t="s">
        <v>331</v>
      </c>
      <c r="D1" s="13" t="s">
        <v>332</v>
      </c>
      <c r="E1" s="13" t="s">
        <v>0</v>
      </c>
      <c r="F1" s="13" t="s">
        <v>333</v>
      </c>
    </row>
    <row r="2" spans="1:6" x14ac:dyDescent="0.15">
      <c r="A2" s="15" t="s">
        <v>168</v>
      </c>
      <c r="B2" s="15" t="s">
        <v>121</v>
      </c>
      <c r="C2" s="15" t="s">
        <v>171</v>
      </c>
      <c r="D2" s="15" t="s">
        <v>172</v>
      </c>
      <c r="E2" s="13" t="s">
        <v>285</v>
      </c>
      <c r="F2" s="13" t="e">
        <f>VLOOKUP(E2,hiyari集計表!$B$2:$B$1048576,2,FALSE)</f>
        <v>#REF!</v>
      </c>
    </row>
    <row r="3" spans="1:6" x14ac:dyDescent="0.15">
      <c r="A3" s="15" t="s">
        <v>168</v>
      </c>
      <c r="B3" s="15" t="s">
        <v>124</v>
      </c>
      <c r="C3" s="15" t="s">
        <v>175</v>
      </c>
      <c r="D3" s="15" t="s">
        <v>176</v>
      </c>
      <c r="E3" s="13" t="s">
        <v>287</v>
      </c>
      <c r="F3" s="13" t="e">
        <f>VLOOKUP(E3,hiyari集計表!$B$2:$B$1048576,2,FALSE)</f>
        <v>#REF!</v>
      </c>
    </row>
    <row r="4" spans="1:6" x14ac:dyDescent="0.15">
      <c r="A4" s="15" t="s">
        <v>168</v>
      </c>
      <c r="B4" s="15"/>
      <c r="C4" s="15" t="s">
        <v>166</v>
      </c>
      <c r="D4" s="15" t="s">
        <v>184</v>
      </c>
      <c r="E4" s="13" t="s">
        <v>292</v>
      </c>
      <c r="F4" s="13" t="e">
        <f>VLOOKUP(E4,hiyari集計表!$B$2:$B$1048576,2,FALSE)</f>
        <v>#REF!</v>
      </c>
    </row>
    <row r="5" spans="1:6" x14ac:dyDescent="0.15">
      <c r="A5" s="15" t="s">
        <v>168</v>
      </c>
      <c r="B5" s="15"/>
      <c r="C5" s="15" t="s">
        <v>185</v>
      </c>
      <c r="D5" s="15" t="s">
        <v>186</v>
      </c>
      <c r="E5" s="13" t="s">
        <v>293</v>
      </c>
      <c r="F5" s="13" t="e">
        <f>VLOOKUP(E5,hiyari集計表!$B$2:$B$1048576,2,FALSE)</f>
        <v>#REF!</v>
      </c>
    </row>
    <row r="6" spans="1:6" x14ac:dyDescent="0.15">
      <c r="A6" s="15" t="s">
        <v>168</v>
      </c>
      <c r="B6" s="15"/>
      <c r="C6" s="15" t="s">
        <v>191</v>
      </c>
      <c r="D6" s="15" t="s">
        <v>192</v>
      </c>
      <c r="E6" s="13" t="s">
        <v>296</v>
      </c>
      <c r="F6" s="13" t="e">
        <f>VLOOKUP(E6,hiyari集計表!$B$2:$B$1048576,2,FALSE)</f>
        <v>#REF!</v>
      </c>
    </row>
    <row r="7" spans="1:6" x14ac:dyDescent="0.15">
      <c r="A7" s="15" t="s">
        <v>168</v>
      </c>
      <c r="B7" s="15"/>
      <c r="C7" s="15" t="s">
        <v>195</v>
      </c>
      <c r="D7" s="15" t="s">
        <v>192</v>
      </c>
      <c r="E7" s="13" t="s">
        <v>297</v>
      </c>
      <c r="F7" s="13" t="e">
        <f>VLOOKUP(E7,hiyari集計表!$B$2:$B$1048576,2,FALSE)</f>
        <v>#REF!</v>
      </c>
    </row>
    <row r="8" spans="1:6" x14ac:dyDescent="0.15">
      <c r="A8" s="15" t="s">
        <v>168</v>
      </c>
      <c r="B8" s="15"/>
      <c r="C8" s="15" t="s">
        <v>198</v>
      </c>
      <c r="D8" s="15" t="s">
        <v>199</v>
      </c>
      <c r="E8" s="13" t="s">
        <v>299</v>
      </c>
      <c r="F8" s="13" t="e">
        <f>VLOOKUP(E8,hiyari集計表!$B$2:$B$1048576,2,FALSE)</f>
        <v>#REF!</v>
      </c>
    </row>
    <row r="9" spans="1:6" x14ac:dyDescent="0.15">
      <c r="A9" s="15" t="s">
        <v>168</v>
      </c>
      <c r="B9" s="15"/>
      <c r="C9" s="16" t="s">
        <v>200</v>
      </c>
      <c r="D9" s="16" t="s">
        <v>201</v>
      </c>
      <c r="E9" s="13" t="s">
        <v>300</v>
      </c>
      <c r="F9" s="13" t="e">
        <f>VLOOKUP(E9,hiyari集計表!$B$2:$B$1048576,2,FALSE)</f>
        <v>#REF!</v>
      </c>
    </row>
    <row r="10" spans="1:6" x14ac:dyDescent="0.15">
      <c r="A10" s="15" t="s">
        <v>168</v>
      </c>
      <c r="B10" s="15" t="s">
        <v>124</v>
      </c>
      <c r="C10" s="15" t="s">
        <v>173</v>
      </c>
      <c r="D10" s="15" t="s">
        <v>174</v>
      </c>
      <c r="E10" s="13" t="s">
        <v>286</v>
      </c>
      <c r="F10" s="13" t="e">
        <f>VLOOKUP(E10,hiyari集計表!$B$2:$B$1048576,2,FALSE)</f>
        <v>#REF!</v>
      </c>
    </row>
    <row r="11" spans="1:6" x14ac:dyDescent="0.15">
      <c r="A11" s="15" t="s">
        <v>168</v>
      </c>
      <c r="B11" s="15"/>
      <c r="C11" s="15" t="s">
        <v>180</v>
      </c>
      <c r="D11" s="15" t="s">
        <v>181</v>
      </c>
      <c r="E11" s="13" t="s">
        <v>290</v>
      </c>
      <c r="F11" s="13" t="e">
        <f>VLOOKUP(E11,hiyari集計表!$B$2:$B$1048576,2,FALSE)</f>
        <v>#REF!</v>
      </c>
    </row>
    <row r="12" spans="1:6" x14ac:dyDescent="0.15">
      <c r="A12" s="15" t="s">
        <v>168</v>
      </c>
      <c r="B12" s="15"/>
      <c r="C12" s="15" t="s">
        <v>182</v>
      </c>
      <c r="D12" s="15" t="s">
        <v>183</v>
      </c>
      <c r="E12" s="13" t="s">
        <v>291</v>
      </c>
      <c r="F12" s="13" t="e">
        <f>VLOOKUP(E12,hiyari集計表!$B$2:$B$1048576,2,FALSE)</f>
        <v>#REF!</v>
      </c>
    </row>
    <row r="13" spans="1:6" x14ac:dyDescent="0.15">
      <c r="A13" s="15" t="s">
        <v>168</v>
      </c>
      <c r="B13" s="15"/>
      <c r="C13" s="15" t="s">
        <v>187</v>
      </c>
      <c r="D13" s="15" t="s">
        <v>188</v>
      </c>
      <c r="E13" s="13" t="s">
        <v>294</v>
      </c>
      <c r="F13" s="13" t="e">
        <f>VLOOKUP(E13,hiyari集計表!$B$2:$B$1048576,2,FALSE)</f>
        <v>#REF!</v>
      </c>
    </row>
    <row r="14" spans="1:6" x14ac:dyDescent="0.15">
      <c r="A14" s="15" t="s">
        <v>168</v>
      </c>
      <c r="B14" s="15"/>
      <c r="C14" s="15" t="s">
        <v>189</v>
      </c>
      <c r="D14" s="15" t="s">
        <v>190</v>
      </c>
      <c r="E14" s="13" t="s">
        <v>295</v>
      </c>
      <c r="F14" s="13" t="e">
        <f>VLOOKUP(E14,hiyari集計表!$B$2:$B$1048576,2,FALSE)</f>
        <v>#REF!</v>
      </c>
    </row>
    <row r="15" spans="1:6" x14ac:dyDescent="0.15">
      <c r="A15" s="15" t="s">
        <v>168</v>
      </c>
      <c r="B15" s="15"/>
      <c r="C15" s="15" t="s">
        <v>193</v>
      </c>
      <c r="D15" s="15" t="s">
        <v>194</v>
      </c>
      <c r="E15" s="13" t="s">
        <v>334</v>
      </c>
      <c r="F15" s="13" t="e">
        <f>VLOOKUP(E15,hiyari集計表!$B$2:$B$1048576,2,FALSE)</f>
        <v>#REF!</v>
      </c>
    </row>
    <row r="16" spans="1:6" x14ac:dyDescent="0.15">
      <c r="A16" s="15" t="s">
        <v>168</v>
      </c>
      <c r="B16" s="15"/>
      <c r="C16" s="16" t="s">
        <v>204</v>
      </c>
      <c r="D16" s="16" t="s">
        <v>205</v>
      </c>
      <c r="E16" s="13" t="s">
        <v>301</v>
      </c>
      <c r="F16" s="13" t="e">
        <f>VLOOKUP(E16,hiyari集計表!$B$2:$B$1048576,2,FALSE)</f>
        <v>#REF!</v>
      </c>
    </row>
    <row r="17" spans="1:6" x14ac:dyDescent="0.15">
      <c r="A17" s="15" t="s">
        <v>168</v>
      </c>
      <c r="B17" s="15"/>
      <c r="C17" s="16" t="s">
        <v>206</v>
      </c>
      <c r="D17" s="16" t="s">
        <v>207</v>
      </c>
      <c r="E17" s="13" t="s">
        <v>302</v>
      </c>
      <c r="F17" s="13" t="e">
        <f>VLOOKUP(E17,hiyari集計表!$B$2:$B$1048576,2,FALSE)</f>
        <v>#REF!</v>
      </c>
    </row>
    <row r="18" spans="1:6" x14ac:dyDescent="0.15">
      <c r="A18" s="15" t="s">
        <v>168</v>
      </c>
      <c r="B18" s="15"/>
      <c r="C18" s="17" t="s">
        <v>208</v>
      </c>
      <c r="D18" s="17" t="s">
        <v>209</v>
      </c>
      <c r="E18" s="13" t="s">
        <v>303</v>
      </c>
      <c r="F18" s="13" t="e">
        <f>VLOOKUP(E18,hiyari集計表!$B$2:$B$1048576,2,FALSE)</f>
        <v>#N/A</v>
      </c>
    </row>
    <row r="19" spans="1:6" x14ac:dyDescent="0.15">
      <c r="A19" s="15" t="s">
        <v>168</v>
      </c>
      <c r="B19" s="15"/>
      <c r="C19" s="15" t="s">
        <v>212</v>
      </c>
      <c r="D19" s="15" t="s">
        <v>213</v>
      </c>
      <c r="E19" s="13" t="s">
        <v>305</v>
      </c>
      <c r="F19" s="13" t="e">
        <f>VLOOKUP(E19,hiyari集計表!$B$2:$B$1048576,2,FALSE)</f>
        <v>#REF!</v>
      </c>
    </row>
    <row r="20" spans="1:6" x14ac:dyDescent="0.15">
      <c r="A20" s="15" t="s">
        <v>168</v>
      </c>
      <c r="B20" s="15" t="s">
        <v>124</v>
      </c>
      <c r="C20" s="15" t="s">
        <v>177</v>
      </c>
      <c r="D20" s="15" t="s">
        <v>178</v>
      </c>
      <c r="E20" s="13" t="s">
        <v>288</v>
      </c>
      <c r="F20" s="13" t="e">
        <f>VLOOKUP(E20,hiyari集計表!$B$2:$B$1048576,2,FALSE)</f>
        <v>#REF!</v>
      </c>
    </row>
    <row r="21" spans="1:6" x14ac:dyDescent="0.15">
      <c r="A21" s="15" t="s">
        <v>168</v>
      </c>
      <c r="B21" s="15" t="s">
        <v>124</v>
      </c>
      <c r="C21" s="15" t="s">
        <v>141</v>
      </c>
      <c r="D21" s="15" t="s">
        <v>179</v>
      </c>
      <c r="E21" s="13" t="s">
        <v>289</v>
      </c>
      <c r="F21" s="13" t="e">
        <f>VLOOKUP(E21,hiyari集計表!$B$2:$B$1048576,2,FALSE)</f>
        <v>#REF!</v>
      </c>
    </row>
    <row r="22" spans="1:6" x14ac:dyDescent="0.15">
      <c r="A22" s="15" t="s">
        <v>168</v>
      </c>
      <c r="B22" s="15"/>
      <c r="C22" s="15" t="s">
        <v>196</v>
      </c>
      <c r="D22" s="15" t="s">
        <v>197</v>
      </c>
      <c r="E22" s="13" t="s">
        <v>298</v>
      </c>
      <c r="F22" s="13" t="e">
        <f>VLOOKUP(E22,hiyari集計表!$B$2:$B$1048576,2,FALSE)</f>
        <v>#REF!</v>
      </c>
    </row>
    <row r="23" spans="1:6" x14ac:dyDescent="0.15">
      <c r="A23" s="15" t="s">
        <v>168</v>
      </c>
      <c r="B23" s="15"/>
      <c r="C23" s="16" t="s">
        <v>202</v>
      </c>
      <c r="D23" s="16" t="s">
        <v>203</v>
      </c>
      <c r="E23" s="13" t="s">
        <v>81</v>
      </c>
      <c r="F23" s="13" t="e">
        <f>VLOOKUP(E23,hiyari集計表!$B$2:$B$1048576,2,FALSE)</f>
        <v>#REF!</v>
      </c>
    </row>
    <row r="24" spans="1:6" x14ac:dyDescent="0.15">
      <c r="A24" s="15" t="s">
        <v>168</v>
      </c>
      <c r="B24" s="15"/>
      <c r="C24" s="15" t="s">
        <v>210</v>
      </c>
      <c r="D24" s="15" t="s">
        <v>211</v>
      </c>
      <c r="E24" s="13" t="s">
        <v>304</v>
      </c>
      <c r="F24" s="13" t="e">
        <f>VLOOKUP(E24,hiyari集計表!$B$2:$B$1048576,2,FALSE)</f>
        <v>#REF!</v>
      </c>
    </row>
    <row r="25" spans="1:6" x14ac:dyDescent="0.15">
      <c r="A25" s="14" t="s">
        <v>114</v>
      </c>
      <c r="B25" s="15" t="s">
        <v>124</v>
      </c>
      <c r="C25" s="15" t="s">
        <v>131</v>
      </c>
      <c r="D25" s="15" t="s">
        <v>132</v>
      </c>
      <c r="E25" s="13" t="s">
        <v>267</v>
      </c>
      <c r="F25" s="13" t="e">
        <f>VLOOKUP(E25,hiyari集計表!$B$2:$B$1048576,2,FALSE)</f>
        <v>#REF!</v>
      </c>
    </row>
    <row r="26" spans="1:6" x14ac:dyDescent="0.15">
      <c r="A26" s="14" t="s">
        <v>114</v>
      </c>
      <c r="B26" s="15"/>
      <c r="C26" s="15" t="s">
        <v>119</v>
      </c>
      <c r="D26" s="15" t="s">
        <v>140</v>
      </c>
      <c r="E26" s="13" t="s">
        <v>272</v>
      </c>
      <c r="F26" s="13" t="e">
        <f>VLOOKUP(E26,hiyari集計表!$B$2:$B$1048576,2,FALSE)</f>
        <v>#REF!</v>
      </c>
    </row>
    <row r="27" spans="1:6" x14ac:dyDescent="0.15">
      <c r="A27" s="14" t="s">
        <v>114</v>
      </c>
      <c r="B27" s="15"/>
      <c r="C27" s="15" t="s">
        <v>136</v>
      </c>
      <c r="D27" s="15" t="s">
        <v>137</v>
      </c>
      <c r="E27" s="13" t="s">
        <v>270</v>
      </c>
      <c r="F27" s="13" t="e">
        <f>VLOOKUP(E27,hiyari集計表!$B$2:$B$1048576,2,FALSE)</f>
        <v>#REF!</v>
      </c>
    </row>
    <row r="28" spans="1:6" x14ac:dyDescent="0.15">
      <c r="A28" s="14" t="s">
        <v>114</v>
      </c>
      <c r="B28" s="15" t="s">
        <v>124</v>
      </c>
      <c r="C28" s="15" t="s">
        <v>125</v>
      </c>
      <c r="D28" s="15" t="s">
        <v>126</v>
      </c>
      <c r="E28" s="13" t="s">
        <v>264</v>
      </c>
      <c r="F28" s="13" t="e">
        <f>VLOOKUP(E28,hiyari集計表!$B$2:$B$1048576,2,FALSE)</f>
        <v>#REF!</v>
      </c>
    </row>
    <row r="29" spans="1:6" x14ac:dyDescent="0.15">
      <c r="A29" s="14" t="s">
        <v>114</v>
      </c>
      <c r="B29" s="15" t="s">
        <v>124</v>
      </c>
      <c r="C29" s="15" t="s">
        <v>127</v>
      </c>
      <c r="D29" s="15" t="s">
        <v>128</v>
      </c>
      <c r="E29" s="13" t="s">
        <v>265</v>
      </c>
      <c r="F29" s="13" t="e">
        <f>VLOOKUP(E29,hiyari集計表!$B$2:$B$1048576,2,FALSE)</f>
        <v>#REF!</v>
      </c>
    </row>
    <row r="30" spans="1:6" x14ac:dyDescent="0.15">
      <c r="A30" s="14" t="s">
        <v>114</v>
      </c>
      <c r="B30" s="15" t="s">
        <v>124</v>
      </c>
      <c r="C30" s="15" t="s">
        <v>133</v>
      </c>
      <c r="D30" s="15" t="s">
        <v>134</v>
      </c>
      <c r="E30" s="13" t="s">
        <v>268</v>
      </c>
      <c r="F30" s="13" t="e">
        <f>VLOOKUP(E30,hiyari集計表!$B$2:$B$1048576,2,FALSE)</f>
        <v>#REF!</v>
      </c>
    </row>
    <row r="31" spans="1:6" x14ac:dyDescent="0.15">
      <c r="A31" s="14" t="s">
        <v>114</v>
      </c>
      <c r="B31" s="15" t="s">
        <v>124</v>
      </c>
      <c r="C31" s="15" t="s">
        <v>131</v>
      </c>
      <c r="D31" s="15" t="s">
        <v>135</v>
      </c>
      <c r="E31" s="13" t="s">
        <v>269</v>
      </c>
      <c r="F31" s="13" t="e">
        <f>VLOOKUP(E31,hiyari集計表!$B$2:$B$1048576,2,FALSE)</f>
        <v>#REF!</v>
      </c>
    </row>
    <row r="32" spans="1:6" x14ac:dyDescent="0.15">
      <c r="A32" s="14" t="s">
        <v>114</v>
      </c>
      <c r="B32" s="15"/>
      <c r="C32" s="15" t="s">
        <v>145</v>
      </c>
      <c r="D32" s="15" t="s">
        <v>146</v>
      </c>
      <c r="E32" s="13" t="s">
        <v>84</v>
      </c>
      <c r="F32" s="13" t="e">
        <f>VLOOKUP(E32,hiyari集計表!$B$2:$B$1048576,2,FALSE)</f>
        <v>#REF!</v>
      </c>
    </row>
    <row r="33" spans="1:6" x14ac:dyDescent="0.15">
      <c r="A33" s="14" t="s">
        <v>114</v>
      </c>
      <c r="B33" s="15" t="s">
        <v>118</v>
      </c>
      <c r="C33" s="15" t="s">
        <v>119</v>
      </c>
      <c r="D33" s="15" t="s">
        <v>120</v>
      </c>
      <c r="E33" s="13" t="s">
        <v>262</v>
      </c>
      <c r="F33" s="13" t="e">
        <f>VLOOKUP(E33,hiyari集計表!$B$2:$B$1048576,2,FALSE)</f>
        <v>#REF!</v>
      </c>
    </row>
    <row r="34" spans="1:6" x14ac:dyDescent="0.15">
      <c r="A34" s="14" t="s">
        <v>114</v>
      </c>
      <c r="B34" s="15" t="s">
        <v>121</v>
      </c>
      <c r="C34" s="15" t="s">
        <v>122</v>
      </c>
      <c r="D34" s="15" t="s">
        <v>123</v>
      </c>
      <c r="E34" s="13" t="s">
        <v>263</v>
      </c>
      <c r="F34" s="13" t="e">
        <f>VLOOKUP(E34,hiyari集計表!$B$2:$B$1048576,2,FALSE)</f>
        <v>#REF!</v>
      </c>
    </row>
    <row r="35" spans="1:6" x14ac:dyDescent="0.15">
      <c r="A35" s="14" t="s">
        <v>114</v>
      </c>
      <c r="B35" s="15" t="s">
        <v>124</v>
      </c>
      <c r="C35" s="15" t="s">
        <v>129</v>
      </c>
      <c r="D35" s="15" t="s">
        <v>130</v>
      </c>
      <c r="E35" s="13" t="s">
        <v>266</v>
      </c>
      <c r="F35" s="13" t="e">
        <f>VLOOKUP(E35,hiyari集計表!$B$2:$B$1048576,2,FALSE)</f>
        <v>#REF!</v>
      </c>
    </row>
    <row r="36" spans="1:6" x14ac:dyDescent="0.15">
      <c r="A36" s="14" t="s">
        <v>114</v>
      </c>
      <c r="B36" s="15"/>
      <c r="C36" s="15" t="s">
        <v>138</v>
      </c>
      <c r="D36" s="15" t="s">
        <v>139</v>
      </c>
      <c r="E36" s="13" t="s">
        <v>271</v>
      </c>
      <c r="F36" s="13" t="e">
        <f>VLOOKUP(E36,hiyari集計表!$B$2:$B$1048576,2,FALSE)</f>
        <v>#REF!</v>
      </c>
    </row>
    <row r="37" spans="1:6" x14ac:dyDescent="0.15">
      <c r="A37" s="14" t="s">
        <v>114</v>
      </c>
      <c r="B37" s="15"/>
      <c r="C37" s="15" t="s">
        <v>141</v>
      </c>
      <c r="D37" s="15" t="s">
        <v>142</v>
      </c>
      <c r="E37" s="13" t="s">
        <v>273</v>
      </c>
      <c r="F37" s="13" t="e">
        <f>VLOOKUP(E37,hiyari集計表!$B$2:$B$1048576,2,FALSE)</f>
        <v>#REF!</v>
      </c>
    </row>
    <row r="38" spans="1:6" x14ac:dyDescent="0.15">
      <c r="A38" s="14" t="s">
        <v>114</v>
      </c>
      <c r="B38" s="15"/>
      <c r="C38" s="15" t="s">
        <v>143</v>
      </c>
      <c r="D38" s="15" t="s">
        <v>144</v>
      </c>
      <c r="E38" s="13" t="s">
        <v>274</v>
      </c>
      <c r="F38" s="13" t="e">
        <f>VLOOKUP(E38,hiyari集計表!$B$2:$B$1048576,2,FALSE)</f>
        <v>#REF!</v>
      </c>
    </row>
    <row r="39" spans="1:6" x14ac:dyDescent="0.15">
      <c r="A39" s="15" t="s">
        <v>247</v>
      </c>
      <c r="B39" s="15" t="s">
        <v>121</v>
      </c>
      <c r="C39" s="15" t="s">
        <v>224</v>
      </c>
      <c r="D39" s="15" t="s">
        <v>250</v>
      </c>
      <c r="E39" s="13" t="s">
        <v>323</v>
      </c>
      <c r="F39" s="13" t="e">
        <f>VLOOKUP(E39,hiyari集計表!$B$2:$B$1048576,2,FALSE)</f>
        <v>#REF!</v>
      </c>
    </row>
    <row r="40" spans="1:6" x14ac:dyDescent="0.15">
      <c r="A40" s="15" t="s">
        <v>247</v>
      </c>
      <c r="B40" s="15"/>
      <c r="C40" s="15" t="s">
        <v>260</v>
      </c>
      <c r="D40" s="15" t="s">
        <v>261</v>
      </c>
      <c r="E40" s="13" t="s">
        <v>329</v>
      </c>
      <c r="F40" s="13" t="e">
        <f>VLOOKUP(E40,hiyari集計表!$B$2:$B$1048576,2,FALSE)</f>
        <v>#REF!</v>
      </c>
    </row>
    <row r="41" spans="1:6" x14ac:dyDescent="0.15">
      <c r="A41" s="15" t="s">
        <v>247</v>
      </c>
      <c r="B41" s="15" t="s">
        <v>124</v>
      </c>
      <c r="C41" s="15" t="s">
        <v>253</v>
      </c>
      <c r="D41" s="15" t="s">
        <v>254</v>
      </c>
      <c r="E41" s="13" t="s">
        <v>325</v>
      </c>
      <c r="F41" s="13" t="e">
        <f>VLOOKUP(E41,hiyari集計表!$B$2:$B$1048576,2,FALSE)</f>
        <v>#REF!</v>
      </c>
    </row>
    <row r="42" spans="1:6" x14ac:dyDescent="0.15">
      <c r="A42" s="15" t="s">
        <v>247</v>
      </c>
      <c r="B42" s="15" t="s">
        <v>124</v>
      </c>
      <c r="C42" s="15" t="s">
        <v>251</v>
      </c>
      <c r="D42" s="15" t="s">
        <v>252</v>
      </c>
      <c r="E42" s="13" t="s">
        <v>324</v>
      </c>
      <c r="F42" s="13" t="e">
        <f>VLOOKUP(E42,hiyari集計表!$B$2:$B$1048576,2,FALSE)</f>
        <v>#REF!</v>
      </c>
    </row>
    <row r="43" spans="1:6" x14ac:dyDescent="0.15">
      <c r="A43" s="15" t="s">
        <v>247</v>
      </c>
      <c r="B43" s="15"/>
      <c r="C43" s="15" t="s">
        <v>224</v>
      </c>
      <c r="D43" s="15" t="s">
        <v>257</v>
      </c>
      <c r="E43" s="13" t="s">
        <v>327</v>
      </c>
      <c r="F43" s="13" t="e">
        <f>VLOOKUP(E43,hiyari集計表!$B$2:$B$1048576,2,FALSE)</f>
        <v>#REF!</v>
      </c>
    </row>
    <row r="44" spans="1:6" x14ac:dyDescent="0.15">
      <c r="A44" s="15" t="s">
        <v>247</v>
      </c>
      <c r="B44" s="15"/>
      <c r="C44" s="15" t="s">
        <v>258</v>
      </c>
      <c r="D44" s="15" t="s">
        <v>259</v>
      </c>
      <c r="E44" s="13" t="s">
        <v>328</v>
      </c>
      <c r="F44" s="13" t="e">
        <f>VLOOKUP(E44,hiyari集計表!$B$2:$B$1048576,2,FALSE)</f>
        <v>#REF!</v>
      </c>
    </row>
    <row r="45" spans="1:6" x14ac:dyDescent="0.15">
      <c r="A45" s="15" t="s">
        <v>247</v>
      </c>
      <c r="B45" s="15"/>
      <c r="C45" s="17" t="s">
        <v>255</v>
      </c>
      <c r="D45" s="17" t="s">
        <v>256</v>
      </c>
      <c r="E45" s="13" t="s">
        <v>326</v>
      </c>
      <c r="F45" s="13" t="e">
        <f>VLOOKUP(E45,hiyari集計表!$B$2:$B$1048576,2,FALSE)</f>
        <v>#REF!</v>
      </c>
    </row>
    <row r="46" spans="1:6" x14ac:dyDescent="0.15">
      <c r="A46" s="15" t="s">
        <v>147</v>
      </c>
      <c r="B46" s="15"/>
      <c r="C46" s="15" t="s">
        <v>158</v>
      </c>
      <c r="D46" s="15" t="s">
        <v>159</v>
      </c>
      <c r="E46" s="13" t="s">
        <v>280</v>
      </c>
      <c r="F46" s="13" t="e">
        <f>VLOOKUP(E46,hiyari集計表!$B$2:$B$1048576,2,FALSE)</f>
        <v>#REF!</v>
      </c>
    </row>
    <row r="47" spans="1:6" x14ac:dyDescent="0.15">
      <c r="A47" s="15" t="s">
        <v>147</v>
      </c>
      <c r="B47" s="15"/>
      <c r="C47" s="15" t="s">
        <v>160</v>
      </c>
      <c r="D47" s="15" t="s">
        <v>161</v>
      </c>
      <c r="E47" s="13" t="s">
        <v>281</v>
      </c>
      <c r="F47" s="13" t="e">
        <f>VLOOKUP(E47,hiyari集計表!$B$2:$B$1048576,2,FALSE)</f>
        <v>#REF!</v>
      </c>
    </row>
    <row r="48" spans="1:6" x14ac:dyDescent="0.15">
      <c r="A48" s="15" t="s">
        <v>147</v>
      </c>
      <c r="B48" s="15" t="s">
        <v>121</v>
      </c>
      <c r="C48" s="15" t="s">
        <v>152</v>
      </c>
      <c r="D48" s="15" t="s">
        <v>153</v>
      </c>
      <c r="E48" s="13" t="s">
        <v>277</v>
      </c>
      <c r="F48" s="13" t="e">
        <f>VLOOKUP(E48,hiyari集計表!$B$2:$B$1048576,2,FALSE)</f>
        <v>#REF!</v>
      </c>
    </row>
    <row r="49" spans="1:6" x14ac:dyDescent="0.15">
      <c r="A49" s="15" t="s">
        <v>147</v>
      </c>
      <c r="B49" s="15"/>
      <c r="C49" s="15" t="s">
        <v>162</v>
      </c>
      <c r="D49" s="15" t="s">
        <v>163</v>
      </c>
      <c r="E49" s="13" t="s">
        <v>74</v>
      </c>
      <c r="F49" s="13" t="e">
        <f>VLOOKUP(E49,hiyari集計表!$B$2:$B$1048576,2,FALSE)</f>
        <v>#REF!</v>
      </c>
    </row>
    <row r="50" spans="1:6" x14ac:dyDescent="0.15">
      <c r="A50" s="15" t="s">
        <v>147</v>
      </c>
      <c r="B50" s="15" t="s">
        <v>124</v>
      </c>
      <c r="C50" s="15" t="s">
        <v>154</v>
      </c>
      <c r="D50" s="15" t="s">
        <v>155</v>
      </c>
      <c r="E50" s="13" t="s">
        <v>278</v>
      </c>
      <c r="F50" s="13" t="e">
        <f>VLOOKUP(E50,hiyari集計表!$B$2:$B$1048576,2,FALSE)</f>
        <v>#REF!</v>
      </c>
    </row>
    <row r="51" spans="1:6" x14ac:dyDescent="0.15">
      <c r="A51" s="15" t="s">
        <v>147</v>
      </c>
      <c r="B51" s="15"/>
      <c r="C51" s="16" t="s">
        <v>166</v>
      </c>
      <c r="D51" s="16" t="s">
        <v>167</v>
      </c>
      <c r="E51" s="13" t="s">
        <v>283</v>
      </c>
      <c r="F51" s="13" t="e">
        <f>VLOOKUP(E51,hiyari集計表!$B$2:$B$1048576,2,FALSE)</f>
        <v>#REF!</v>
      </c>
    </row>
    <row r="52" spans="1:6" x14ac:dyDescent="0.15">
      <c r="A52" s="15" t="s">
        <v>147</v>
      </c>
      <c r="B52" s="15"/>
      <c r="C52" s="15" t="s">
        <v>164</v>
      </c>
      <c r="D52" s="15" t="s">
        <v>165</v>
      </c>
      <c r="E52" s="13" t="s">
        <v>282</v>
      </c>
      <c r="F52" s="13" t="e">
        <f>VLOOKUP(E52,hiyari集計表!$B$2:$B$1048576,2,FALSE)</f>
        <v>#REF!</v>
      </c>
    </row>
    <row r="53" spans="1:6" x14ac:dyDescent="0.15">
      <c r="A53" s="15" t="s">
        <v>147</v>
      </c>
      <c r="B53" s="15" t="s">
        <v>124</v>
      </c>
      <c r="C53" s="16" t="s">
        <v>156</v>
      </c>
      <c r="D53" s="16" t="s">
        <v>157</v>
      </c>
      <c r="E53" s="13" t="s">
        <v>279</v>
      </c>
      <c r="F53" s="13" t="e">
        <f>VLOOKUP(E53,hiyari集計表!$B$2:$B$1048576,2,FALSE)</f>
        <v>#REF!</v>
      </c>
    </row>
    <row r="54" spans="1:6" x14ac:dyDescent="0.15">
      <c r="A54" s="15" t="s">
        <v>214</v>
      </c>
      <c r="B54" s="15" t="s">
        <v>121</v>
      </c>
      <c r="C54" s="15" t="s">
        <v>218</v>
      </c>
      <c r="D54" s="15" t="s">
        <v>219</v>
      </c>
      <c r="E54" s="13" t="s">
        <v>307</v>
      </c>
      <c r="F54" s="13" t="e">
        <f>VLOOKUP(E54,hiyari集計表!$B$2:$B$1048576,2,FALSE)</f>
        <v>#REF!</v>
      </c>
    </row>
    <row r="55" spans="1:6" x14ac:dyDescent="0.15">
      <c r="A55" s="15" t="s">
        <v>214</v>
      </c>
      <c r="B55" s="15" t="s">
        <v>124</v>
      </c>
      <c r="C55" s="15" t="s">
        <v>220</v>
      </c>
      <c r="D55" s="15" t="s">
        <v>221</v>
      </c>
      <c r="E55" s="13" t="s">
        <v>308</v>
      </c>
      <c r="F55" s="13" t="e">
        <f>VLOOKUP(E55,hiyari集計表!$B$2:$B$1048576,2,FALSE)</f>
        <v>#REF!</v>
      </c>
    </row>
    <row r="56" spans="1:6" hidden="1" x14ac:dyDescent="0.15">
      <c r="A56" s="14" t="s">
        <v>114</v>
      </c>
      <c r="B56" s="15" t="s">
        <v>115</v>
      </c>
      <c r="C56" s="15" t="s">
        <v>116</v>
      </c>
      <c r="D56" s="15" t="s">
        <v>117</v>
      </c>
      <c r="E56" s="13" t="str">
        <f>C56&amp;D56</f>
        <v>水津正三</v>
      </c>
      <c r="F56" s="13" t="e">
        <f>VLOOKUP(E56,hiyari集計表!$B$2:$B$1048576,2,FALSE)</f>
        <v>#N/A</v>
      </c>
    </row>
    <row r="57" spans="1:6" x14ac:dyDescent="0.15">
      <c r="A57" s="15" t="s">
        <v>214</v>
      </c>
      <c r="B57" s="15" t="s">
        <v>124</v>
      </c>
      <c r="C57" s="15" t="s">
        <v>224</v>
      </c>
      <c r="D57" s="15" t="s">
        <v>225</v>
      </c>
      <c r="E57" s="13" t="s">
        <v>310</v>
      </c>
      <c r="F57" s="13" t="e">
        <f>VLOOKUP(E57,hiyari集計表!$B$2:$B$1048576,2,FALSE)</f>
        <v>#REF!</v>
      </c>
    </row>
    <row r="58" spans="1:6" x14ac:dyDescent="0.15">
      <c r="A58" s="15" t="s">
        <v>214</v>
      </c>
      <c r="B58" s="15" t="s">
        <v>124</v>
      </c>
      <c r="C58" s="15" t="s">
        <v>222</v>
      </c>
      <c r="D58" s="15" t="s">
        <v>223</v>
      </c>
      <c r="E58" s="13" t="s">
        <v>309</v>
      </c>
      <c r="F58" s="13" t="e">
        <f>VLOOKUP(E58,hiyari集計表!$B$2:$B$1048576,2,FALSE)</f>
        <v>#REF!</v>
      </c>
    </row>
    <row r="59" spans="1:6" hidden="1" x14ac:dyDescent="0.15">
      <c r="A59" s="15" t="s">
        <v>147</v>
      </c>
      <c r="B59" s="15" t="s">
        <v>115</v>
      </c>
      <c r="C59" s="15" t="s">
        <v>148</v>
      </c>
      <c r="D59" s="15" t="s">
        <v>149</v>
      </c>
      <c r="E59" s="13" t="s">
        <v>275</v>
      </c>
      <c r="F59" s="13" t="e">
        <f>VLOOKUP(E59,hiyari集計表!$B$2:$B$1048576,2,FALSE)</f>
        <v>#N/A</v>
      </c>
    </row>
    <row r="60" spans="1:6" hidden="1" x14ac:dyDescent="0.15">
      <c r="A60" s="15" t="s">
        <v>147</v>
      </c>
      <c r="B60" s="15" t="s">
        <v>115</v>
      </c>
      <c r="C60" s="15" t="s">
        <v>150</v>
      </c>
      <c r="D60" s="15" t="s">
        <v>151</v>
      </c>
      <c r="E60" s="13" t="s">
        <v>276</v>
      </c>
      <c r="F60" s="13" t="e">
        <f>VLOOKUP(E60,hiyari集計表!$B$2:$B$1048576,2,FALSE)</f>
        <v>#N/A</v>
      </c>
    </row>
    <row r="61" spans="1:6" hidden="1" x14ac:dyDescent="0.15">
      <c r="A61" s="15" t="s">
        <v>168</v>
      </c>
      <c r="B61" s="15" t="s">
        <v>115</v>
      </c>
      <c r="C61" s="15" t="s">
        <v>169</v>
      </c>
      <c r="D61" s="15" t="s">
        <v>170</v>
      </c>
      <c r="E61" s="13" t="s">
        <v>284</v>
      </c>
      <c r="F61" s="13" t="e">
        <f>VLOOKUP(E61,hiyari集計表!$B$2:$B$1048576,2,FALSE)</f>
        <v>#N/A</v>
      </c>
    </row>
    <row r="62" spans="1:6" x14ac:dyDescent="0.15">
      <c r="A62" s="15" t="s">
        <v>214</v>
      </c>
      <c r="B62" s="15"/>
      <c r="C62" s="15" t="s">
        <v>226</v>
      </c>
      <c r="D62" s="15" t="s">
        <v>227</v>
      </c>
      <c r="E62" s="13" t="s">
        <v>311</v>
      </c>
      <c r="F62" s="13" t="e">
        <f>VLOOKUP(E62,hiyari集計表!$B$2:$B$1048576,2,FALSE)</f>
        <v>#REF!</v>
      </c>
    </row>
    <row r="63" spans="1:6" x14ac:dyDescent="0.15">
      <c r="A63" s="15" t="s">
        <v>214</v>
      </c>
      <c r="B63" s="15"/>
      <c r="C63" s="15" t="s">
        <v>228</v>
      </c>
      <c r="D63" s="15" t="s">
        <v>229</v>
      </c>
      <c r="E63" s="13" t="s">
        <v>312</v>
      </c>
      <c r="F63" s="13" t="e">
        <f>VLOOKUP(E63,hiyari集計表!$B$2:$B$1048576,2,FALSE)</f>
        <v>#REF!</v>
      </c>
    </row>
    <row r="64" spans="1:6" x14ac:dyDescent="0.15">
      <c r="A64" s="15" t="s">
        <v>214</v>
      </c>
      <c r="B64" s="15"/>
      <c r="C64" s="15" t="s">
        <v>230</v>
      </c>
      <c r="D64" s="15" t="s">
        <v>231</v>
      </c>
      <c r="E64" s="13" t="s">
        <v>313</v>
      </c>
      <c r="F64" s="13" t="e">
        <f>VLOOKUP(E64,hiyari集計表!$B$2:$B$1048576,2,FALSE)</f>
        <v>#REF!</v>
      </c>
    </row>
    <row r="65" spans="1:6" x14ac:dyDescent="0.15">
      <c r="A65" s="15" t="s">
        <v>214</v>
      </c>
      <c r="B65" s="13"/>
      <c r="C65" s="15" t="s">
        <v>232</v>
      </c>
      <c r="D65" s="15" t="s">
        <v>233</v>
      </c>
      <c r="E65" s="13" t="s">
        <v>314</v>
      </c>
      <c r="F65" s="13" t="e">
        <f>VLOOKUP(E65,hiyari集計表!$B$2:$B$1048576,2,FALSE)</f>
        <v>#REF!</v>
      </c>
    </row>
    <row r="66" spans="1:6" x14ac:dyDescent="0.15">
      <c r="A66" s="15" t="s">
        <v>214</v>
      </c>
      <c r="B66" s="13"/>
      <c r="C66" s="15" t="s">
        <v>234</v>
      </c>
      <c r="D66" s="15" t="s">
        <v>235</v>
      </c>
      <c r="E66" s="13" t="s">
        <v>315</v>
      </c>
      <c r="F66" s="13" t="e">
        <f>VLOOKUP(E66,hiyari集計表!$B$2:$B$1048576,2,FALSE)</f>
        <v>#REF!</v>
      </c>
    </row>
    <row r="67" spans="1:6" x14ac:dyDescent="0.15">
      <c r="A67" s="15" t="s">
        <v>214</v>
      </c>
      <c r="B67" s="15"/>
      <c r="C67" s="15" t="s">
        <v>230</v>
      </c>
      <c r="D67" s="15" t="s">
        <v>236</v>
      </c>
      <c r="E67" s="13" t="s">
        <v>316</v>
      </c>
      <c r="F67" s="13" t="e">
        <f>VLOOKUP(E67,hiyari集計表!$B$2:$B$1048576,2,FALSE)</f>
        <v>#REF!</v>
      </c>
    </row>
    <row r="68" spans="1:6" x14ac:dyDescent="0.15">
      <c r="A68" s="15" t="s">
        <v>214</v>
      </c>
      <c r="B68" s="15"/>
      <c r="C68" s="15" t="s">
        <v>241</v>
      </c>
      <c r="D68" s="15" t="s">
        <v>242</v>
      </c>
      <c r="E68" s="13" t="s">
        <v>319</v>
      </c>
      <c r="F68" s="13" t="e">
        <f>VLOOKUP(E68,hiyari集計表!$B$2:$B$1048576,2,FALSE)</f>
        <v>#REF!</v>
      </c>
    </row>
    <row r="69" spans="1:6" x14ac:dyDescent="0.15">
      <c r="A69" s="15" t="s">
        <v>214</v>
      </c>
      <c r="B69" s="15"/>
      <c r="C69" s="15" t="s">
        <v>243</v>
      </c>
      <c r="D69" s="15" t="s">
        <v>244</v>
      </c>
      <c r="E69" s="13" t="s">
        <v>320</v>
      </c>
      <c r="F69" s="13" t="e">
        <f>VLOOKUP(E69,hiyari集計表!$B$2:$B$1048576,2,FALSE)</f>
        <v>#REF!</v>
      </c>
    </row>
    <row r="70" spans="1:6" x14ac:dyDescent="0.15">
      <c r="A70" s="15" t="s">
        <v>214</v>
      </c>
      <c r="B70" s="15"/>
      <c r="C70" s="15" t="s">
        <v>245</v>
      </c>
      <c r="D70" s="15" t="s">
        <v>246</v>
      </c>
      <c r="E70" s="13" t="s">
        <v>321</v>
      </c>
      <c r="F70" s="13" t="e">
        <f>VLOOKUP(E70,hiyari集計表!$B$2:$B$1048576,2,FALSE)</f>
        <v>#REF!</v>
      </c>
    </row>
    <row r="71" spans="1:6" x14ac:dyDescent="0.15">
      <c r="A71" s="15" t="s">
        <v>214</v>
      </c>
      <c r="B71" s="15"/>
      <c r="C71" s="15" t="s">
        <v>237</v>
      </c>
      <c r="D71" s="15" t="s">
        <v>238</v>
      </c>
      <c r="E71" s="13" t="s">
        <v>317</v>
      </c>
      <c r="F71" s="13" t="e">
        <f>VLOOKUP(E71,hiyari集計表!$B$2:$B$1048576,2,FALSE)</f>
        <v>#REF!</v>
      </c>
    </row>
    <row r="72" spans="1:6" hidden="1" x14ac:dyDescent="0.15">
      <c r="A72" s="15" t="s">
        <v>214</v>
      </c>
      <c r="B72" s="15" t="s">
        <v>215</v>
      </c>
      <c r="C72" s="15" t="s">
        <v>216</v>
      </c>
      <c r="D72" s="15" t="s">
        <v>217</v>
      </c>
      <c r="E72" s="13" t="s">
        <v>306</v>
      </c>
      <c r="F72" s="13" t="e">
        <f>VLOOKUP(E72,hiyari集計表!$B$2:$B$1048576,2,FALSE)</f>
        <v>#N/A</v>
      </c>
    </row>
    <row r="73" spans="1:6" hidden="1" x14ac:dyDescent="0.15">
      <c r="A73" s="15" t="s">
        <v>247</v>
      </c>
      <c r="B73" s="15" t="s">
        <v>115</v>
      </c>
      <c r="C73" s="15" t="s">
        <v>248</v>
      </c>
      <c r="D73" s="15" t="s">
        <v>249</v>
      </c>
      <c r="E73" s="13" t="s">
        <v>322</v>
      </c>
      <c r="F73" s="13" t="e">
        <f>VLOOKUP(E73,hiyari集計表!$B$2:$B$1048576,2,FALSE)</f>
        <v>#N/A</v>
      </c>
    </row>
    <row r="74" spans="1:6" x14ac:dyDescent="0.15">
      <c r="A74" s="15" t="s">
        <v>214</v>
      </c>
      <c r="B74" s="15"/>
      <c r="C74" s="15" t="s">
        <v>239</v>
      </c>
      <c r="D74" s="15" t="s">
        <v>240</v>
      </c>
      <c r="E74" s="13" t="s">
        <v>318</v>
      </c>
      <c r="F74" s="13" t="e">
        <f>VLOOKUP(E74,hiyari集計表!$B$2:$B$1048576,2,FALSE)</f>
        <v>#REF!</v>
      </c>
    </row>
    <row r="75" spans="1:6" x14ac:dyDescent="0.15">
      <c r="A75" s="11"/>
      <c r="B75" s="11"/>
      <c r="C75" s="12"/>
      <c r="D75" s="12"/>
    </row>
  </sheetData>
  <autoFilter ref="A1:F74">
    <filterColumn colId="1">
      <filters blank="1">
        <filter val="職長補佐"/>
        <filter val="班長"/>
        <filter val="副長"/>
      </filters>
    </filterColumn>
    <sortState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髙延　淳一</cp:lastModifiedBy>
  <cp:lastPrinted>2023-04-04T08:27:08Z</cp:lastPrinted>
  <dcterms:created xsi:type="dcterms:W3CDTF">2018-09-26T04:23:29Z</dcterms:created>
  <dcterms:modified xsi:type="dcterms:W3CDTF">2023-04-04T08:27:15Z</dcterms:modified>
</cp:coreProperties>
</file>